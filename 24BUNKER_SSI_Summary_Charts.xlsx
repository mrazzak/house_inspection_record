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53b805ba3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I Kmax" sheetId="1" r:id="R807bdf2bb4c84d54"/>
    <x:sheet xmlns:r="http://schemas.openxmlformats.org/officeDocument/2006/relationships" name="Pressure Cycling" sheetId="2" r:id="R8e9ceb7cff0543dd"/>
    <x:sheet xmlns:r="http://schemas.openxmlformats.org/officeDocument/2006/relationships" name="Summary" sheetId="3" r:id="R7495abdaf82f41ba"/>
  </x:sheets>
</x:workbook>
</file>

<file path=xl/sharedStrings.xml><?xml version="1.0" encoding="utf-8"?>
<x:sst xmlns:x="http://schemas.openxmlformats.org/spreadsheetml/2006/main">
  <x:si>
    <x:t xml:space="preserve">API 1183 - Dent Screening Level 2</x:t>
  </x:si>
  <x:si>
    <x:t xml:space="preserve">MOP</x:t>
  </x:si>
  <x:si>
    <x:t xml:space="preserve">psi</x:t>
  </x:si>
  <x:si>
    <x:t xml:space="preserve">Year of construction</x:t>
  </x:si>
  <x:si>
    <x:t xml:space="preserve">MOP (Stress)</x:t>
  </x:si>
  <x:si>
    <x:t xml:space="preserve">DWML Reduction Factor</x:t>
  </x:si>
  <x:si>
    <x:t xml:space="preserve">SMYS for dents to be assessed</x:t>
  </x:si>
  <x:si>
    <x:t xml:space="preserve">ILI Date</x:t>
  </x:si>
  <x:si>
    <x:t xml:space="preserve">ksi</x:t>
  </x:si>
  <x:si>
    <x:t xml:space="preserve">Yearfrac</x:t>
  </x:si>
  <x:si>
    <x:t xml:space="preserve">0.345 in</x:t>
  </x:si>
  <x:si>
    <x:t xml:space="preserve">Amber cells: editable inputs. Other cells: calculations.</x:t>
  </x:si>
  <x:si>
    <x:t xml:space="preserve">20% SMYS for SSI</x:t>
  </x:si>
  <x:si>
    <x:t xml:space="preserve">Time of writing</x:t>
  </x:si>
  <x:si>
    <x:t xml:space="preserve">&gt; 0.378 in</x:t>
  </x:si>
  <x:si>
    <x:t xml:space="preserve">Source column</x:t>
  </x:si>
  <x:si>
    <x:t xml:space="preserve">OD</x:t>
  </x:si>
  <x:si>
    <x:t xml:space="preserve">t</x:t>
  </x:si>
  <x:si>
    <x:t xml:space="preserve">OD/t</x:t>
  </x:si>
  <x:si>
    <x:t xml:space="preserve">SSI</x:t>
  </x:si>
  <x:si>
    <x:t xml:space="preserve">restrained km</x:t>
  </x:si>
  <x:si>
    <x:t xml:space="preserve">unrestrained km
&gt;20% SMYS</x:t>
  </x:si>
  <x:si>
    <x:t xml:space="preserve">unrestrained
&lt; 20% SMYS</x:t>
  </x:si>
  <x:si>
    <x:t xml:space="preserve">restrained 
fatigue life &gt;</x:t>
  </x:si>
  <x:si>
    <x:t xml:space="preserve">&gt;20% SMYS
unrestrained 
fatigue life &gt;</x:t>
  </x:si>
  <x:si>
    <x:t xml:space="preserve">&lt; 20% SMYS
unrestrained 
fatigue life &gt;</x:t>
  </x:si>
  <x:si>
    <x:t xml:space="preserve">min fatigue life 
yrs</x:t>
  </x:si>
  <x:si>
    <x:t xml:space="preserve">min fatigue life from ILI date</x:t>
  </x:si>
  <x:si>
    <x:t xml:space="preserve">min fatigue life from time of writing</x:t>
  </x:si>
  <x:si>
    <x:t xml:space="preserve">Dent ID</x:t>
  </x:si>
  <x:si>
    <x:t xml:space="preserve">metal loss depth (% wt)</x:t>
  </x:si>
  <x:si>
    <x:t xml:space="preserve">Ksf</x:t>
  </x:si>
  <x:si>
    <x:t xml:space="preserve">tnom</x:t>
  </x:si>
  <x:si>
    <x:t xml:space="preserve">tLTA</x:t>
  </x:si>
  <x:si>
    <x:t xml:space="preserve">RFLTA</x:t>
  </x:si>
  <x:si>
    <x:t xml:space="preserve">m=</x:t>
  </x:si>
  <x:si>
    <x:t xml:space="preserve">N</x:t>
  </x:si>
  <x:si>
    <x:t xml:space="preserve">O</x:t>
  </x:si>
  <x:si>
    <x:t xml:space="preserve">P</x:t>
  </x:si>
  <x:si>
    <x:t xml:space="preserve">Q</x:t>
  </x:si>
  <x:si>
    <x:t xml:space="preserve">R</x:t>
  </x:si>
  <x:si>
    <x:t xml:space="preserve">S</x:t>
  </x:si>
  <x:si>
    <x:t xml:space="preserve">T</x:t>
  </x:si>
  <x:si>
    <x:t xml:space="preserve">U</x:t>
  </x:si>
  <x:si>
    <x:t xml:space="preserve">V</x:t>
  </x:si>
  <x:si>
    <x:t xml:space="preserve">W</x:t>
  </x:si>
  <x:si>
    <x:t xml:space="preserve">X</x:t>
  </x:si>
  <x:si>
    <x:t xml:space="preserve">Y</x:t>
  </x:si>
  <x:si>
    <x:t xml:space="preserve">Z</x:t>
  </x:si>
  <x:si>
    <x:t xml:space="preserve">AA</x:t>
  </x:si>
  <x:si>
    <x:t xml:space="preserve">AB</x:t>
  </x:si>
  <x:si>
    <x:t xml:space="preserve">AC</x:t>
  </x:si>
  <x:si>
    <x:t xml:space="preserve">AD</x:t>
  </x:si>
  <x:si>
    <x:t xml:space="preserve">AE</x:t>
  </x:si>
  <x:si>
    <x:t xml:space="preserve">Calculation conventions and equations</x:t>
  </x:si>
  <x:si>
    <x:t xml:space="preserve">Each row corresponds to one original column N–AE. Source column preserves the original case naming.</x:t>
  </x:si>
  <x:si>
    <x:t xml:space="preserve">OD/t = OD / t; restrained km = 0.1183 × (OD/t) − 1.146.</x:t>
  </x:si>
  <x:si>
    <x:t xml:space="preserve">unrestrained km &gt;20% SMYS = 7.5 × [1 − EXP(−0.065 × OD/t)].</x:t>
  </x:si>
  <x:si>
    <x:t xml:space="preserve">unrestrained &lt;20% SMYS = 9.4 × [1 − EXP(−0.045 × OD/t)].</x:t>
  </x:si>
  <x:si>
    <x:t xml:space="preserve">Fatigue life &gt; 10^(10.08514 − 3 × LOG10(13 × km)) / SSI. The reference stress is 13 ksi.</x:t>
  </x:si>
  <x:si>
    <x:t xml:space="preserve">min fatigue life uses MIN(restrained, &gt;20% unrestrained), except source Z, AD and AE, which use &lt;20% unrestrained.</x:t>
  </x:si>
</x:sst>
</file>

<file path=xl/styles.xml><?xml version="1.0" encoding="utf-8"?>
<x:styleSheet xmlns:x="http://schemas.openxmlformats.org/spreadsheetml/2006/main">
  <x:numFmts count="7">
    <x:numFmt numFmtId="164" formatCode="mmm\ d\,\ yyyy"/>
    <x:numFmt numFmtId="165" formatCode="0.000000"/>
    <x:numFmt numFmtId="166" formatCode="0.000"/>
    <x:numFmt numFmtId="200" formatCode="0.000000000000E+00"/>
    <x:numFmt numFmtId="201" formatCode="0"/>
    <x:numFmt numFmtId="202" formatCode="0.00"/>
    <x:numFmt numFmtId="203" formatCode="#,##0.00"/>
  </x:numFmts>
  <x:fonts count="6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2"/>
      <x:name val="Arial"/>
    </x:font>
    <x:font>
      <x:b/>
      <x:sz val="10"/>
      <x:name val="Arial"/>
    </x:font>
    <x:font>
      <x:b/>
      <x:sz val="10"/>
      <x:color rgb="FF9C0006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EF2F7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Font="1"/>
    <x:xf numFmtId="0" fontId="2" fillId="0" borderId="0" xfId="0" applyFont="1"/>
    <x:xf numFmtId="165" fontId="1" fillId="0" borderId="0" xfId="0" applyNumberFormat="1" applyFont="1"/>
    <x:xf numFmtId="2" fontId="1" fillId="0" borderId="0" xfId="0" applyNumberFormat="1" applyFont="1"/>
    <x:xf numFmtId="0" fontId="3" fillId="0" borderId="0" xfId="0" applyFont="1"/>
    <x:xf numFmtId="0" fontId="1" fillId="2" borderId="0" xfId="0" applyFont="1" applyFill="1"/>
    <x:xf numFmtId="164" fontId="1" fillId="2" borderId="0" xfId="0" applyNumberFormat="1" applyFont="1" applyFill="1"/>
    <x:xf numFmtId="166" fontId="1" fillId="2" borderId="0" xfId="0" applyNumberFormat="1" applyFont="1" applyFill="1"/>
    <x:xf numFmtId="165" fontId="1" fillId="2" borderId="0" xfId="0" applyNumberFormat="1" applyFont="1" applyFill="1"/>
    <x:xf numFmtId="1" fontId="1" fillId="2" borderId="0" xfId="0" applyNumberFormat="1" applyFont="1" applyFill="1"/>
    <x:xf numFmtId="0" fontId="4" fillId="3" borderId="0" xfId="0" applyFont="1" applyFill="1" applyAlignment="1">
      <x:alignment horizontal="center" vertical="center" wrapText="1"/>
    </x:xf>
    <x:xf numFmtId="2" fontId="4" fillId="4" borderId="0" xfId="0" applyNumberFormat="1" applyFont="1" applyFill="1"/>
    <x:xf numFmtId="165" fontId="1" fillId="4" borderId="0" xfId="0" applyNumberFormat="1" applyFont="1" applyFill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166" fontId="1" fillId="5" borderId="0" xfId="0" applyNumberFormat="1" applyFont="1" applyFill="1" applyBorder="1" applyAlignment="1">
      <x:alignment vertical="center"/>
    </x:xf>
    <x:xf numFmtId="166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165" fontId="1" fillId="7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202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 wrapText="1"/>
    </x:xf>
    <x:xf numFmtId="202" fontId="4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  <x:xf numFmtId="202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 wrapText="1"/>
    </x:xf>
    <x:xf numFmtId="202" fontId="4" fillId="11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165" fontId="1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165" fontId="1" fillId="13" borderId="0" xfId="0" applyNumberFormat="1" applyFont="1" applyFill="1" applyBorder="1" applyAlignment="1">
      <x:alignment vertical="center"/>
    </x:xf>
    <x:xf numFmtId="1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/>
    <x:xf numFmtId="165" fontId="1" fillId="2" borderId="0" xfId="0" applyNumberFormat="1" applyFont="1" applyFill="1" applyBorder="1"/>
    <x:xf numFmtId="165" fontId="1" fillId="4" borderId="0" xfId="0" applyNumberFormat="1" applyFont="1" applyFill="1" applyBorder="1"/>
    <x:xf numFmtId="165" fontId="4" fillId="13" borderId="0" xfId="0" applyNumberFormat="1" applyFont="1" applyFill="1" applyBorder="1" applyAlignment="1">
      <x:alignment vertical="center" wrapText="1"/>
    </x:xf>
    <x:xf numFmtId="165" fontId="4" fillId="3" borderId="0" xfId="0" applyNumberFormat="1" applyFont="1" applyFill="1" applyBorder="1" applyAlignment="1">
      <x:alignment vertical="center" wrapText="1"/>
    </x:xf>
    <x:xf numFmtId="165" fontId="1" fillId="3" borderId="0" xfId="0" applyNumberFormat="1" applyFont="1" applyFill="1" applyBorder="1"/>
    <x:xf numFmtId="165" fontId="1" fillId="0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/>
    <x:xf numFmtId="201" fontId="1" fillId="13" borderId="0" xfId="0" applyNumberFormat="1" applyFont="1" applyFill="1" applyBorder="1" applyAlignment="1">
      <x:alignment vertical="center" wrapText="1"/>
    </x:xf>
    <x:xf numFmtId="202" fontId="1" fillId="14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3" fontId="1" fillId="16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vertical="center"/>
    </x:xf>
    <x:xf numFmtId="166" fontId="1" fillId="18" borderId="0" xfId="0" applyNumberFormat="1" applyFont="1" applyFill="1" applyBorder="1" applyAlignment="1">
      <x:alignment vertical="center"/>
    </x:xf>
    <x:xf numFmtId="166" fontId="1" fillId="19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cf39a66b54598" /><Relationship Type="http://schemas.openxmlformats.org/officeDocument/2006/relationships/theme" Target="/xl/theme/theme1.xml" Id="R88549f44b4424239" /><Relationship Type="http://schemas.openxmlformats.org/officeDocument/2006/relationships/sharedStrings" Target="/xl/sharedStrings.xml" Id="R6ac29c98d6b54d74" /><Relationship Type="http://schemas.openxmlformats.org/officeDocument/2006/relationships/worksheet" Target="/xl/worksheets/sheet1.xml" Id="R807bdf2bb4c84d54" /><Relationship Type="http://schemas.openxmlformats.org/officeDocument/2006/relationships/worksheet" Target="/xl/worksheets/sheet2.xml" Id="R8e9ceb7cff0543dd" /><Relationship Type="http://schemas.openxmlformats.org/officeDocument/2006/relationships/worksheet" Target="/xl/worksheets/sheet3.xml" Id="R7495abdaf82f41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dd96f50079548f6" /><Relationship Type="http://schemas.openxmlformats.org/officeDocument/2006/relationships/image" Target="/xl/media/image2.png" Id="Rf32f72c17a7d4c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bad20652c1448f" /><Relationship Type="http://schemas.openxmlformats.org/officeDocument/2006/relationships/chart" Target="/xl/drawings/charts/chart2.xml" Id="R0a2df308bff543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SSI by dent / case (13 ksi cycles/year)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SSI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'Summary'!$K$7:$K$24</c:f>
              <c:strCache>
                <c:ptCount val="0"/>
              </c:strCache>
            </c:strRef>
          </c:cat>
          <c:val>
            <c:numRef>
              <c:f>'Summary'!$L$7:$L$24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Remaining fatigue life before and after reductions (years)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Before reductions</c:v>
          </c:tx>
          <c:spPr>
            <a:solidFill xmlns:a="http://schemas.openxmlformats.org/drawingml/2006/main">
              <a:srgbClr val="A6A6A6"/>
            </a:solidFill>
          </c:spPr>
          <c:invertIfNegative val="0"/>
          <c:cat>
            <c:strRef>
              <c:f>'Summary'!$K$7:$K$24</c:f>
              <c:strCache>
                <c:ptCount val="0"/>
              </c:strCache>
            </c:strRef>
          </c:cat>
          <c:val>
            <c:numRef>
              <c:f>'Summary'!$M$7:$M$24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After weld selection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'Summary'!$K$7:$K$24</c:f>
              <c:strCache>
                <c:ptCount val="0"/>
              </c:strCache>
            </c:strRef>
          </c:cat>
          <c:val>
            <c:numRef>
              <c:f>'Summary'!$N$7:$N$24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After applicable reductions</c:v>
          </c:tx>
          <c:spPr>
            <a:solidFill xmlns:a="http://schemas.openxmlformats.org/drawingml/2006/main">
              <a:srgbClr val="548235"/>
            </a:solidFill>
          </c:spPr>
          <c:invertIfNegative val="0"/>
          <c:cat>
            <c:strRef>
              <c:f>'Summary'!$K$7:$K$24</c:f>
              <c:strCache>
                <c:ptCount val="0"/>
              </c:strCache>
            </c:strRef>
          </c:cat>
          <c:val>
            <c:numRef>
              <c:f>'Summary'!$O$7:$O$24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47</xdr:row>
      <xdr:rowOff>0</xdr:rowOff>
    </xdr:from>
    <xdr:ext cx="9525000" cy="9267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96f50079548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47</xdr:row>
      <xdr:rowOff>0</xdr:rowOff>
    </xdr:from>
    <xdr:ext cx="6648450" cy="70104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f72c17a7d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9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bad20652c1448f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9</xdr:col>
      <xdr:colOff>0</xdr:colOff>
      <xdr:row>71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2df308bff543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b1b78bf9654b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aeaa1f4d17349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9" customWidth="1"/>
    <x:col min="2" max="5" width="14" customWidth="1"/>
    <x:col min="6" max="8" width="19" customWidth="1"/>
    <x:col min="9" max="11" width="22" customWidth="1"/>
    <x:col min="12" max="12" width="25" customWidth="1"/>
    <x:col min="13" max="16" width="22" customWidth="1"/>
    <x:col min="17" max="17" width="22" hidden="0" customWidth="1"/>
    <x:col min="18" max="18" width="22" hidden="0" customWidth="1"/>
    <x:col min="19" max="19" width="3" hidden="0" customWidth="1"/>
    <x:col min="20" max="24" width="14" customWidth="1"/>
    <x:col min="26" max="26" width="14" hidden="0" customWidth="1"/>
    <x:col min="25" max="25" width="14" hidden="0" customWidth="1"/>
    <x:col min="24" max="24" width="14" hidden="0" customWidth="1"/>
    <x:col min="23" max="23" width="14" hidden="0" customWidth="1"/>
    <x:col min="22" max="22" width="14" hidden="0" customWidth="1"/>
    <x:col min="21" max="21" width="23" hidden="0" customWidth="1"/>
    <x:col min="20" max="20" width="14" hidden="0" customWidth="1"/>
    <x:col min="15" max="15" width="18" hidden="0" customWidth="1"/>
    <x:col min="16" max="16" width="1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/>
      <x:c r="P1"/>
      <x:c r="Q1" s="1"/>
      <x:c r="R1" s="1"/>
      <x:c r="S1"/>
      <x:c r="T1" s="1"/>
      <x:c r="U1" s="1"/>
      <x:c r="V1" s="1"/>
      <x:c r="W1" s="1"/>
      <x:c r="X1" s="1"/>
      <x:c r="Y1" s="1"/>
      <x:c r="Z1" s="1"/>
    </x:row>
    <x:row r="2" ht="21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/>
      <x:c r="P2"/>
      <x:c r="Q2" s="1"/>
      <x:c r="R2" s="1"/>
      <x:c r="S2"/>
      <x:c r="T2" s="1"/>
      <x:c r="U2" s="1"/>
      <x:c r="V2" s="1"/>
      <x:c r="W2" s="1"/>
      <x:c r="X2" s="1"/>
      <x:c r="Y2" s="1"/>
      <x:c r="Z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/>
      <x:c r="P3"/>
      <x:c r="Q3" s="1"/>
      <x:c r="R3" s="1"/>
      <x:c r="S3"/>
      <x:c r="T3" s="1"/>
      <x:c r="U3" s="1"/>
      <x:c r="V3" s="1"/>
      <x:c r="W3" s="1"/>
      <x:c r="X3" s="1"/>
      <x:c r="Y3" s="1"/>
      <x:c r="Z3" s="1"/>
    </x:row>
    <x:row r="4" ht="21" customHeight="1">
      <x:c r="A4" s="1" t="s">
        <x:v>1</x:v>
      </x:c>
      <x:c r="B4" s="6">
        <x:v>336</x:v>
      </x:c>
      <x:c r="C4" s="1" t="s">
        <x:v>2</x:v>
      </x:c>
      <x:c r="D4" s="1"/>
      <x:c r="E4" s="1"/>
      <x:c r="F4" s="1" t="s">
        <x:v>3</x:v>
      </x:c>
      <x:c r="G4" s="7">
        <x:v>28856</x:v>
      </x:c>
      <x:c r="H4" s="1"/>
      <x:c r="I4" s="1"/>
      <x:c r="J4" s="1" t="s">
        <x:v>4</x:v>
      </x:c>
      <x:c r="K4" s="1" t="s">
        <x:v>2</x:v>
      </x:c>
      <x:c r="L4" s="1"/>
      <x:c r="M4" s="1"/>
      <x:c r="N4" s="1"/>
      <x:c r="O4"/>
      <x:c r="P4"/>
      <x:c r="Q4" s="1"/>
      <x:c r="R4" s="1"/>
      <x:c r="S4"/>
      <x:c r="T4" s="5" t="s">
        <x:v>5</x:v>
      </x:c>
      <x:c r="U4" s="1"/>
      <x:c r="V4" s="1"/>
      <x:c r="W4" s="1"/>
      <x:c r="X4" s="1"/>
      <x:c r="Y4" s="1"/>
      <x:c r="Z4" s="1"/>
    </x:row>
    <x:row r="5" ht="21" customHeight="1">
      <x:c r="A5" s="1" t="s">
        <x:v>6</x:v>
      </x:c>
      <x:c r="B5" s="1" t="n">
        <x:f>B6*1000</x:f>
        <x:v>60000</x:v>
      </x:c>
      <x:c r="C5" s="1" t="s">
        <x:v>2</x:v>
      </x:c>
      <x:c r="D5" s="1"/>
      <x:c r="E5" s="1"/>
      <x:c r="F5" s="1" t="s">
        <x:v>7</x:v>
      </x:c>
      <x:c r="G5" s="7">
        <x:v>46163</x:v>
      </x:c>
      <x:c r="H5" s="1"/>
      <x:c r="I5" s="1"/>
      <x:c r="J5" s="1" t="s">
        <x:v>4</x:v>
      </x:c>
      <x:c r="K5" s="4" t="n">
        <x:f>$B$4*B12/2/C12</x:f>
        <x:v>12560.747663551401</x:v>
      </x:c>
      <x:c r="L5" s="1" t="str">
        <x:f>IF(K5&gt;$B$7,"MOP &gt; 20% SMYS","MOP &lt; 20% SMYS")</x:f>
        <x:v>MOP &gt; 20% SMYS</x:v>
      </x:c>
      <x:c r="M5" s="1"/>
      <x:c r="N5" s="1"/>
      <x:c r="O5"/>
      <x:c r="P5"/>
      <x:c r="Q5" s="1"/>
      <x:c r="R5" s="1"/>
      <x:c r="S5"/>
      <x:c r="T5" s="1"/>
      <x:c r="U5" s="1"/>
      <x:c r="V5" s="1"/>
      <x:c r="W5" s="1"/>
      <x:c r="X5" s="1"/>
      <x:c r="Y5" s="1"/>
      <x:c r="Z5" s="1"/>
    </x:row>
    <x:row r="6" ht="21" customHeight="1">
      <x:c r="A6" s="1" t="s">
        <x:v>6</x:v>
      </x:c>
      <x:c r="B6" s="6">
        <x:v>60</x:v>
      </x:c>
      <x:c r="C6" s="1" t="s">
        <x:v>8</x:v>
      </x:c>
      <x:c r="D6" s="1"/>
      <x:c r="E6" s="1"/>
      <x:c r="F6" s="1" t="s">
        <x:v>9</x:v>
      </x:c>
      <x:c r="G6" s="3" t="n">
        <x:f>YEARFRAC(G4,G5,1)</x:f>
        <x:v>47.383983572895275</x:v>
      </x:c>
      <x:c r="H6" s="1"/>
      <x:c r="I6" s="1"/>
      <x:c r="J6" s="1" t="s">
        <x:v>10</x:v>
      </x:c>
      <x:c r="K6" s="4" t="n">
        <x:f>$B$4*B15/2/0.345</x:f>
        <x:v>11686.956521739132</x:v>
      </x:c>
      <x:c r="L6" s="1" t="str">
        <x:f>IF(K6&gt;$B$7,"MOP &gt; 20% SMYS","MOP &lt; 20% SMYS")</x:f>
        <x:v>MOP &lt; 20% SMYS</x:v>
      </x:c>
      <x:c r="M6" s="1"/>
      <x:c r="N6" s="1"/>
      <x:c r="O6"/>
      <x:c r="P6"/>
      <x:c r="Q6" s="1"/>
      <x:c r="R6" s="1"/>
      <x:c r="S6"/>
      <x:c r="T6" s="1" t="s">
        <x:v>11</x:v>
      </x:c>
      <x:c r="U6" s="1"/>
      <x:c r="V6" s="1"/>
      <x:c r="W6" s="1"/>
      <x:c r="X6" s="1"/>
      <x:c r="Y6" s="1"/>
      <x:c r="Z6" s="1"/>
    </x:row>
    <x:row r="7" ht="21" customHeight="1">
      <x:c r="A7" s="1" t="s">
        <x:v>12</x:v>
      </x:c>
      <x:c r="B7" s="1" t="n">
        <x:f>B5*0.2</x:f>
        <x:v>12000</x:v>
      </x:c>
      <x:c r="C7" s="1" t="s">
        <x:v>2</x:v>
      </x:c>
      <x:c r="D7" s="1"/>
      <x:c r="E7" s="1"/>
      <x:c r="F7" s="1" t="s">
        <x:v>13</x:v>
      </x:c>
      <x:c r="G7" s="7">
        <x:v>46338</x:v>
      </x:c>
      <x:c r="H7" s="1"/>
      <x:c r="I7" s="1"/>
      <x:c r="J7" s="1" t="s">
        <x:v>14</x:v>
      </x:c>
      <x:c r="K7" s="4" t="n">
        <x:f>$B$4*B15/2/0.378</x:f>
        <x:v>10666.666666666666</x:v>
      </x:c>
      <x:c r="L7" s="1" t="str">
        <x:f>IF(K7&gt;$B$7,"MOP &gt; 20% SMYS","MOP &lt; 20% SMYS")</x:f>
        <x:v>MOP &lt; 20% SMYS</x:v>
      </x:c>
      <x:c r="M7" s="1"/>
      <x:c r="N7" s="1"/>
      <x:c r="O7"/>
      <x:c r="P7"/>
      <x:c r="Q7" s="1"/>
      <x:c r="R7" s="1"/>
      <x:c r="S7"/>
      <x:c r="T7" s="1"/>
      <x:c r="U7" s="1"/>
      <x:c r="V7" s="1"/>
      <x:c r="W7" s="1"/>
      <x:c r="X7" s="1"/>
      <x:c r="Y7" s="1"/>
      <x:c r="Z7" s="1"/>
    </x:row>
    <x:row r="8" ht="21" customHeight="1">
      <x:c r="A8" s="1" t="s">
        <x:v>12</x:v>
      </x:c>
      <x:c r="B8" s="1" t="n">
        <x:f>B6*0.2</x:f>
        <x:v>12</x:v>
      </x:c>
      <x:c r="C8" s="1" t="s">
        <x:v>8</x:v>
      </x:c>
      <x:c r="D8" s="1"/>
      <x:c r="E8" s="1"/>
      <x:c r="F8" s="1" t="s">
        <x:v>9</x:v>
      </x:c>
      <x:c r="G8" s="3" t="n">
        <x:f>YEARFRAC(G4,G7,1)</x:f>
        <x:v>47.8631074606434</x:v>
      </x:c>
      <x:c r="H8" s="1"/>
      <x:c r="I8" s="1"/>
      <x:c r="J8" s="1"/>
      <x:c r="K8" s="1"/>
      <x:c r="L8" s="1"/>
      <x:c r="M8" s="1"/>
      <x:c r="N8" s="1"/>
      <x:c r="O8"/>
      <x:c r="P8"/>
      <x:c r="Q8" s="1"/>
      <x:c r="R8" s="1"/>
      <x:c r="S8"/>
      <x:c r="T8" s="1"/>
      <x:c r="U8" s="1"/>
      <x:c r="V8" s="1"/>
      <x:c r="W8" s="1"/>
      <x:c r="X8" s="1"/>
      <x:c r="Y8" s="1"/>
      <x:c r="Z8" s="1"/>
    </x:row>
    <x:row r="9" ht="21" customHeight="1">
      <x:c r="A9" s="30" t="str">
        <x:f>IF('Pressure Cycling'!B8="ACTUAL","SSI uses the pressure cycling inputs marked ACTUAL on Pressure Cycling.","SAMPLE DATA: SSI and fatigue lives use synthetic demonstration pressure cycles. Replace inputs on Pressure Cycling.")</x:f>
        <x:v>SAMPLE DATA: SSI and fatigue lives use synthetic demonstration pressure cycles. Replace inputs on Pressure Cycling.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/>
      <x:c r="P9"/>
      <x:c r="Q9" s="1"/>
      <x:c r="R9" s="1"/>
      <x:c r="S9"/>
      <x:c r="T9" s="1"/>
      <x:c r="U9" s="1"/>
      <x:c r="V9" s="1"/>
      <x:c r="W9" s="1"/>
      <x:c r="X9" s="1"/>
      <x:c r="Y9" s="1"/>
      <x:c r="Z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/>
      <x:c r="P10"/>
      <x:c r="Q10" s="1"/>
      <x:c r="R10" s="1"/>
      <x:c r="S10"/>
      <x:c r="T10" s="1"/>
      <x:c r="U10" s="1"/>
      <x:c r="V10" s="1"/>
      <x:c r="W10" s="1"/>
      <x:c r="X10" s="1"/>
      <x:c r="Y10" s="1"/>
      <x:c r="Z10" s="1"/>
    </x:row>
    <x:row r="11" ht="75.94999694824219" customHeight="1">
      <x:c r="A11" s="11" t="s">
        <x:v>15</x:v>
      </x:c>
      <x:c r="B11" s="11" t="s">
        <x:v>16</x:v>
      </x:c>
      <x:c r="C11" s="11" t="s">
        <x:v>17</x:v>
      </x:c>
      <x:c r="D11" s="11" t="s">
        <x:v>18</x:v>
      </x:c>
      <x:c r="E11" s="11" t="s">
        <x:v>19</x:v>
      </x:c>
      <x:c r="F11" s="11" t="s">
        <x:v>20</x:v>
      </x:c>
      <x:c r="G11" s="11" t="s">
        <x:v>21</x:v>
      </x:c>
      <x:c r="H11" s="11" t="s">
        <x:v>22</x:v>
      </x:c>
      <x:c r="I11" s="11" t="s">
        <x:v>23</x:v>
      </x:c>
      <x:c r="J11" s="11" t="s">
        <x:v>24</x:v>
      </x:c>
      <x:c r="K11" s="11" t="s">
        <x:v>25</x:v>
      </x:c>
      <x:c r="L11" s="11" t="s">
        <x:v>26</x:v>
      </x:c>
      <x:c r="M11" s="11" t="s">
        <x:v>27</x:v>
      </x:c>
      <x:c r="N11" s="11" t="s">
        <x:v>28</x:v>
      </x:c>
      <x:c r="O11" s="57" t="str">
        <x:v>Weld involvement?</x:v>
      </x:c>
      <x:c r="P11" s="57" t="str">
        <x:v>Metal loss?</x:v>
      </x:c>
      <x:c r="Q11" s="57" t="str">
        <x:v>Life after weld selection
(years)</x:v>
      </x:c>
      <x:c r="R11" s="57" t="str">
        <x:v>Life after applicable reductions
(years)</x:v>
      </x:c>
      <x:c r="S11"/>
      <x:c r="T11" s="11" t="s">
        <x:v>29</x:v>
      </x:c>
      <x:c r="U11" s="11" t="s">
        <x:v>30</x:v>
      </x:c>
      <x:c r="V11" s="11" t="s">
        <x:v>31</x:v>
      </x:c>
      <x:c r="W11" s="11" t="s">
        <x:v>32</x:v>
      </x:c>
      <x:c r="X11" s="11" t="s">
        <x:v>33</x:v>
      </x:c>
      <x:c r="Y11" s="11" t="s">
        <x:v>34</x:v>
      </x:c>
      <x:c r="Z11" s="11" t="s">
        <x:v>35</x:v>
      </x:c>
    </x:row>
    <x:row r="12" ht="21" customHeight="1">
      <x:c r="A12" s="1" t="s">
        <x:v>36</x:v>
      </x:c>
      <x:c r="B12" s="8" t="n">
        <x:v>24</x:v>
      </x:c>
      <x:c r="C12" s="8">
        <x:v>0.32100000000000001</x:v>
      </x:c>
      <x:c r="D12" s="3" t="n">
        <x:f t="shared" ref="D12:D29" si="0">B12/C12</x:f>
        <x:v>74.76635514018692</x:v>
      </x:c>
      <x:c r="E12" s="26" t="n">
        <x:f>IF(ISNUMBER('Pressure Cycling'!K12),'Pressure Cycling'!K12,"")</x:f>
        <x:v>10.507466526387484</x:v>
      </x:c>
      <x:c r="F12" s="3" t="n">
        <x:f t="shared" ref="F12:F29" si="1">(0.1183*D12)-1.146</x:f>
        <x:v>7.698859813084112</x:v>
      </x:c>
      <x:c r="G12" s="3" t="n">
        <x:f t="shared" ref="G12:G29" si="2">7.5*(1-EXP(-0.065*D12))</x:f>
        <x:v>7.441860504636643</x:v>
      </x:c>
      <x:c r="H12" s="3" t="n">
        <x:f t="shared" ref="H12:H29" si="3">9.4*(1-EXP(-0.045*D12))</x:f>
        <x:v>9.074950009654243</x:v>
      </x:c>
      <x:c r="I12" s="4" t="n">
        <x:f t="shared" ref="I12:I29" si="4">IF(ISNUMBER(E12),IF(E12&gt;0,(10^(10.08514-3*LOG10(13*F12)))/E12,"No cycles"),"")</x:f>
        <x:v>1154.8689174750195</x:v>
      </x:c>
      <x:c r="J12" s="4" t="n">
        <x:f t="shared" ref="J12:J29" si="5">IF(ISNUMBER(E12),IF(E12&gt;0,(10^(10.08514-3*LOG10(13*G12)))/E12,"No cycles"),"")</x:f>
        <x:v>1278.6961359272386</x:v>
      </x:c>
      <x:c r="K12" s="4" t="n">
        <x:f t="shared" ref="K12:K29" si="6">IF(ISNUMBER(E12),IF(E12&gt;0,(10^(10.08514-3*LOG10(13*H12)))/E12,"No cycles"),"")</x:f>
        <x:v>705.146255210429</x:v>
      </x:c>
      <x:c r="L12" s="12" t="n">
        <x:f t="shared" ref="L12:L23" si="7">IF(ISNUMBER(I12),MIN(I12,J12),IF(ISNUMBER(E12),IF(E12=0,"No cycles",""),""))</x:f>
        <x:v>1154.8689174750195</x:v>
      </x:c>
      <x:c r="M12" s="4" t="n">
        <x:f t="shared" ref="M12:M29" si="8">IF(ISNUMBER(L12),L12-$G$6,"")</x:f>
        <x:v>1107.4849339021243</x:v>
      </x:c>
      <x:c r="N12" s="4" t="n">
        <x:f t="shared" ref="N12:N29" si="9">IF(ISNUMBER(L12),L12-$G$8,"")</x:f>
        <x:v>1107.005810014376</x:v>
      </x:c>
      <x:c r="O12" s="64" t="str">
        <x:v>Yes</x:v>
      </x:c>
      <x:c r="P12" s="64" t="str">
        <x:v>No</x:v>
      </x:c>
      <x:c r="Q12" s="65" t="n">
        <x:f>IF(ISNUMBER(N12),IF(O12="Yes",N12/10,IF(O12="No",N12,"Select Yes/No")),"")</x:f>
        <x:v>110.7005810014376</x:v>
      </x:c>
      <x:c r="R12" s="82" t="n">
        <x:f>IF(ISNUMBER(Q12),IF(P12="No",Q12,IF(P12="Yes",IF(AND(ISNUMBER(Y12),Y12&gt;0),Q12/Y12,"Missing DWML inputs"),"Select Yes/No")),IF(Q12="Select Yes/No",Q12,""))</x:f>
        <x:v>110.7005810014376</x:v>
      </x:c>
      <x:c r="S12"/>
      <x:c r="T12" s="1" t="str">
        <x:v>—</x:v>
      </x:c>
      <x:c r="U12" s="66"/>
      <x:c r="V12" s="66" t="n">
        <x:v>1.24</x:v>
      </x:c>
      <x:c r="W12" s="73" t="n">
        <x:f>C12</x:f>
        <x:v>0.321</x:v>
      </x:c>
      <x:c r="X12" s="73" t="str">
        <x:f>IF(AND(ISNUMBER(U12),U12&gt;=0,U12&lt;100,ISNUMBER(W12),W12&gt;0),W12*(1-U12/100),"")</x:f>
      </x:c>
      <x:c r="Y12" s="73" t="str">
        <x:f>IF(AND(ISNUMBER(X12),X12&gt;0,ISNUMBER(V12),V12&gt;0,ISNUMBER(Z12),Z12&gt;0),(V12*W12/X12)^Z12,"")</x:f>
      </x:c>
      <x:c r="Z12" s="80" t="n">
        <x:v>3</x:v>
      </x:c>
    </x:row>
    <x:row r="13" ht="21" customHeight="1">
      <x:c r="A13" s="1" t="s">
        <x:v>37</x:v>
      </x:c>
      <x:c r="B13" s="8">
        <x:v>24</x:v>
      </x:c>
      <x:c r="C13" s="8">
        <x:v>0.33100000000000002</x:v>
      </x:c>
      <x:c r="D13" s="3" t="n">
        <x:f t="shared" si="0">B13/C13</x:f>
        <x:v>72.50755287009063</x:v>
      </x:c>
      <x:c r="E13" s="26" t="n">
        <x:f>IF(ISNUMBER('Pressure Cycling'!K13),'Pressure Cycling'!K13,"")</x:f>
        <x:v>9.583609978336865</x:v>
      </x:c>
      <x:c r="F13" s="3" t="n">
        <x:f t="shared" si="1">(0.1183*D13)-1.146</x:f>
        <x:v>7.4316435045317215</x:v>
      </x:c>
      <x:c r="G13" s="3" t="n">
        <x:f t="shared" si="2">7.5*(1-EXP(-0.065*D13))</x:f>
        <x:v>7.432665861743337</x:v>
      </x:c>
      <x:c r="H13" s="3" t="n">
        <x:f t="shared" si="3">9.4*(1-EXP(-0.045*D13))</x:f>
        <x:v>9.040172377961762</x:v>
      </x:c>
      <x:c r="I13" s="4" t="n">
        <x:f t="shared" si="4">IF(ISNUMBER(E13),IF(E13&gt;0,(10^(10.08514-3*LOG10(13*F13)))/E13,"No cycles"),"")</x:f>
        <x:v>1407.752174411178</x:v>
      </x:c>
      <x:c r="J13" s="4" t="n">
        <x:f t="shared" si="5">IF(ISNUMBER(E13),IF(E13&gt;0,(10^(10.08514-3*LOG10(13*G13)))/E13,"No cycles"),"")</x:f>
        <x:v>1407.1713487722857</x:v>
      </x:c>
      <x:c r="K13" s="4" t="n">
        <x:f t="shared" si="6">IF(ISNUMBER(E13),IF(E13&gt;0,(10^(10.08514-3*LOG10(13*H13)))/E13,"No cycles"),"")</x:f>
        <x:v>782.0790944021204</x:v>
      </x:c>
      <x:c r="L13" s="12" t="n">
        <x:f t="shared" si="7">IF(ISNUMBER(I13),MIN(I13,J13),IF(ISNUMBER(E13),IF(E13=0,"No cycles",""),""))</x:f>
        <x:v>1407.1713487722857</x:v>
      </x:c>
      <x:c r="M13" s="4" t="n">
        <x:f t="shared" si="8">IF(ISNUMBER(L13),L13-$G$6,"")</x:f>
        <x:v>1359.7873651993905</x:v>
      </x:c>
      <x:c r="N13" s="4" t="n">
        <x:f t="shared" si="9">IF(ISNUMBER(L13),L13-$G$8,"")</x:f>
        <x:v>1359.3082413116422</x:v>
      </x:c>
      <x:c r="O13" s="64" t="str">
        <x:v>Yes</x:v>
      </x:c>
      <x:c r="P13" s="64" t="str">
        <x:v>No</x:v>
      </x:c>
      <x:c r="Q13" s="65" t="n">
        <x:f>IF(ISNUMBER(N13),IF(O13="Yes",N13/10,IF(O13="No",N13,"Select Yes/No")),"")</x:f>
        <x:v>135.93082413116423</x:v>
      </x:c>
      <x:c r="R13" s="82" t="n">
        <x:f>IF(ISNUMBER(Q13),IF(P13="No",Q13,IF(P13="Yes",IF(AND(ISNUMBER(Y13),Y13&gt;0),Q13/Y13,"Missing DWML inputs"),"Select Yes/No")),IF(Q13="Select Yes/No",Q13,""))</x:f>
        <x:v>135.93082413116423</x:v>
      </x:c>
      <x:c r="S13"/>
      <x:c r="T13" s="1" t="str">
        <x:v>—</x:v>
      </x:c>
      <x:c r="U13" s="66"/>
      <x:c r="V13" s="66" t="n">
        <x:v>1.24</x:v>
      </x:c>
      <x:c r="W13" s="73" t="n">
        <x:f>C13</x:f>
        <x:v>0.331</x:v>
      </x:c>
      <x:c r="X13" s="73" t="str">
        <x:f>IF(AND(ISNUMBER(U13),U13&gt;=0,U13&lt;100,ISNUMBER(W13),W13&gt;0),W13*(1-U13/100),"")</x:f>
      </x:c>
      <x:c r="Y13" s="73" t="str">
        <x:f>IF(AND(ISNUMBER(X13),X13&gt;0,ISNUMBER(V13),V13&gt;0,ISNUMBER(Z13),Z13&gt;0),(V13*W13/X13)^Z13,"")</x:f>
      </x:c>
      <x:c r="Z13" s="80" t="n">
        <x:v>3</x:v>
      </x:c>
    </x:row>
    <x:row r="14" ht="21" customHeight="1">
      <x:c r="A14" s="1" t="s">
        <x:v>38</x:v>
      </x:c>
      <x:c r="B14" s="8">
        <x:v>24</x:v>
      </x:c>
      <x:c r="C14" s="8">
        <x:v>0.32600000000000001</x:v>
      </x:c>
      <x:c r="D14" s="3" t="n">
        <x:f t="shared" si="0">B14/C14</x:f>
        <x:v>73.61963190184049</x:v>
      </x:c>
      <x:c r="E14" s="26" t="n">
        <x:f>IF(ISNUMBER('Pressure Cycling'!K14),'Pressure Cycling'!K14,"")</x:f>
        <x:v>10.03137145072499</x:v>
      </x:c>
      <x:c r="F14" s="3" t="n">
        <x:f t="shared" si="1">(0.1183*D14)-1.146</x:f>
        <x:v>7.5632024539877305</x:v>
      </x:c>
      <x:c r="G14" s="3" t="n">
        <x:f t="shared" si="2">7.5*(1-EXP(-0.065*D14))</x:f>
        <x:v>7.437361367151801</x:v>
      </x:c>
      <x:c r="H14" s="3" t="n">
        <x:f t="shared" si="3">9.4*(1-EXP(-0.045*D14))</x:f>
        <x:v>9.057736286278836</x:v>
      </x:c>
      <x:c r="I14" s="4" t="n">
        <x:f t="shared" si="4">IF(ISNUMBER(E14),IF(E14&gt;0,(10^(10.08514-3*LOG10(13*F14)))/E14,"No cycles"),"")</x:f>
        <x:v>1275.9464657918043</x:v>
      </x:c>
      <x:c r="J14" s="4" t="n">
        <x:f t="shared" si="5">IF(ISNUMBER(E14),IF(E14&gt;0,(10^(10.08514-3*LOG10(13*G14)))/E14,"No cycles"),"")</x:f>
        <x:v>1341.8160437142965</x:v>
      </x:c>
      <x:c r="K14" s="4" t="n">
        <x:f t="shared" si="6">IF(ISNUMBER(E14),IF(E14&gt;0,(10^(10.08514-3*LOG10(13*H14)))/E14,"No cycles"),"")</x:f>
        <x:v>742.832017579681</x:v>
      </x:c>
      <x:c r="L14" s="12" t="n">
        <x:f t="shared" si="7">IF(ISNUMBER(I14),MIN(I14,J14),IF(ISNUMBER(E14),IF(E14=0,"No cycles",""),""))</x:f>
        <x:v>1275.9464657918043</x:v>
      </x:c>
      <x:c r="M14" s="4" t="n">
        <x:f t="shared" si="8">IF(ISNUMBER(L14),L14-$G$6,"")</x:f>
        <x:v>1228.562482218909</x:v>
      </x:c>
      <x:c r="N14" s="4" t="n">
        <x:f t="shared" si="9">IF(ISNUMBER(L14),L14-$G$8,"")</x:f>
        <x:v>1228.0833583311608</x:v>
      </x:c>
      <x:c r="O14" s="64" t="str">
        <x:v>Yes</x:v>
      </x:c>
      <x:c r="P14" s="64" t="str">
        <x:v>No</x:v>
      </x:c>
      <x:c r="Q14" s="65" t="n">
        <x:f>IF(ISNUMBER(N14),IF(O14="Yes",N14/10,IF(O14="No",N14,"Select Yes/No")),"")</x:f>
        <x:v>122.80833583311608</x:v>
      </x:c>
      <x:c r="R14" s="82" t="n">
        <x:f>IF(ISNUMBER(Q14),IF(P14="No",Q14,IF(P14="Yes",IF(AND(ISNUMBER(Y14),Y14&gt;0),Q14/Y14,"Missing DWML inputs"),"Select Yes/No")),IF(Q14="Select Yes/No",Q14,""))</x:f>
        <x:v>122.80833583311608</x:v>
      </x:c>
      <x:c r="S14"/>
      <x:c r="T14" s="1" t="str">
        <x:v>—</x:v>
      </x:c>
      <x:c r="U14" s="66"/>
      <x:c r="V14" s="66" t="n">
        <x:v>1.24</x:v>
      </x:c>
      <x:c r="W14" s="73" t="n">
        <x:f>C14</x:f>
        <x:v>0.326</x:v>
      </x:c>
      <x:c r="X14" s="73" t="str">
        <x:f>IF(AND(ISNUMBER(U14),U14&gt;=0,U14&lt;100,ISNUMBER(W14),W14&gt;0),W14*(1-U14/100),"")</x:f>
      </x:c>
      <x:c r="Y14" s="73" t="str">
        <x:f>IF(AND(ISNUMBER(X14),X14&gt;0,ISNUMBER(V14),V14&gt;0,ISNUMBER(Z14),Z14&gt;0),(V14*W14/X14)^Z14,"")</x:f>
      </x:c>
      <x:c r="Z14" s="80" t="n">
        <x:v>3</x:v>
      </x:c>
    </x:row>
    <x:row r="15" ht="21" customHeight="1">
      <x:c r="A15" s="1" t="s">
        <x:v>39</x:v>
      </x:c>
      <x:c r="B15" s="8">
        <x:v>24</x:v>
      </x:c>
      <x:c r="C15" s="8">
        <x:v>0.312</x:v>
      </x:c>
      <x:c r="D15" s="3" t="n">
        <x:f t="shared" si="0">B15/C15</x:f>
        <x:v>76.92307692307692</x:v>
      </x:c>
      <x:c r="E15" s="26" t="n">
        <x:f>IF(ISNUMBER('Pressure Cycling'!K15),'Pressure Cycling'!K15,"")</x:f>
        <x:v>11.443248531276048</x:v>
      </x:c>
      <x:c r="F15" s="3" t="n">
        <x:f t="shared" si="1">(0.1183*D15)-1.146</x:f>
        <x:v>7.954</x:v>
      </x:c>
      <x:c r="G15" s="3" t="n">
        <x:f t="shared" si="2">7.5*(1-EXP(-0.065*D15))</x:f>
        <x:v>7.4494653975068585</x:v>
      </x:c>
      <x:c r="H15" s="3" t="n">
        <x:f t="shared" si="3">9.4*(1-EXP(-0.045*D15))</x:f>
        <x:v>9.105014410285984</x:v>
      </x:c>
      <x:c r="I15" s="4" t="n">
        <x:f t="shared" si="4">IF(ISNUMBER(E15),IF(E15&gt;0,(10^(10.08514-3*LOG10(13*F15)))/E15,"No cycles"),"")</x:f>
        <x:v>961.6208093163292</x:v>
      </x:c>
      <x:c r="J15" s="4" t="n">
        <x:f t="shared" si="5">IF(ISNUMBER(E15),IF(E15&gt;0,(10^(10.08514-3*LOG10(13*G15)))/E15,"No cycles"),"")</x:f>
        <x:v>1170.5373910469075</x:v>
      </x:c>
      <x:c r="K15" s="4" t="n">
        <x:f t="shared" si="6">IF(ISNUMBER(E15),IF(E15&gt;0,(10^(10.08514-3*LOG10(13*H15)))/E15,"No cycles"),"")</x:f>
        <x:v>641.0895537736033</x:v>
      </x:c>
      <x:c r="L15" s="12" t="n">
        <x:f t="shared" si="7">IF(ISNUMBER(I15),MIN(I15,J15),IF(ISNUMBER(E15),IF(E15=0,"No cycles",""),""))</x:f>
        <x:v>961.6208093163292</x:v>
      </x:c>
      <x:c r="M15" s="4" t="n">
        <x:f t="shared" si="8">IF(ISNUMBER(L15),L15-$G$6,"")</x:f>
        <x:v>914.2368257434339</x:v>
      </x:c>
      <x:c r="N15" s="4" t="n">
        <x:f t="shared" si="9">IF(ISNUMBER(L15),L15-$G$8,"")</x:f>
        <x:v>913.7577018556858</x:v>
      </x:c>
      <x:c r="O15" s="64" t="str">
        <x:v>Yes</x:v>
      </x:c>
      <x:c r="P15" s="64" t="str">
        <x:v>No</x:v>
      </x:c>
      <x:c r="Q15" s="65" t="n">
        <x:f>IF(ISNUMBER(N15),IF(O15="Yes",N15/10,IF(O15="No",N15,"Select Yes/No")),"")</x:f>
        <x:v>91.37577018556858</x:v>
      </x:c>
      <x:c r="R15" s="82" t="n">
        <x:f>IF(ISNUMBER(Q15),IF(P15="No",Q15,IF(P15="Yes",IF(AND(ISNUMBER(Y15),Y15&gt;0),Q15/Y15,"Missing DWML inputs"),"Select Yes/No")),IF(Q15="Select Yes/No",Q15,""))</x:f>
        <x:v>91.37577018556858</x:v>
      </x:c>
      <x:c r="S15"/>
      <x:c r="T15" s="1" t="str">
        <x:v>—</x:v>
      </x:c>
      <x:c r="U15" s="66"/>
      <x:c r="V15" s="66" t="n">
        <x:v>1.24</x:v>
      </x:c>
      <x:c r="W15" s="73" t="n">
        <x:f>C15</x:f>
        <x:v>0.312</x:v>
      </x:c>
      <x:c r="X15" s="73" t="str">
        <x:f>IF(AND(ISNUMBER(U15),U15&gt;=0,U15&lt;100,ISNUMBER(W15),W15&gt;0),W15*(1-U15/100),"")</x:f>
      </x:c>
      <x:c r="Y15" s="73" t="str">
        <x:f>IF(AND(ISNUMBER(X15),X15&gt;0,ISNUMBER(V15),V15&gt;0,ISNUMBER(Z15),Z15&gt;0),(V15*W15/X15)^Z15,"")</x:f>
      </x:c>
      <x:c r="Z15" s="80" t="n">
        <x:v>3</x:v>
      </x:c>
    </x:row>
    <x:row r="16" ht="21" customHeight="1">
      <x:c r="A16" s="1" t="s">
        <x:v>40</x:v>
      </x:c>
      <x:c r="B16" s="8">
        <x:v>24</x:v>
      </x:c>
      <x:c r="C16" s="8">
        <x:v>0.34</x:v>
      </x:c>
      <x:c r="D16" s="3" t="n">
        <x:f t="shared" si="0">B16/C16</x:f>
        <x:v>70.58823529411764</x:v>
      </x:c>
      <x:c r="E16" s="26" t="n">
        <x:f>IF(ISNUMBER('Pressure Cycling'!K16),'Pressure Cycling'!K16,"")</x:f>
        <x:v>8.842526321211658</x:v>
      </x:c>
      <x:c r="F16" s="3" t="n">
        <x:f t="shared" si="1">(0.1183*D16)-1.146</x:f>
        <x:v>7.204588235294117</x:v>
      </x:c>
      <x:c r="G16" s="3" t="n">
        <x:f t="shared" si="2">7.5*(1-EXP(-0.065*D16))</x:f>
        <x:v>7.423719067496127</x:v>
      </x:c>
      <x:c r="H16" s="3" t="n">
        <x:f t="shared" si="3">9.4*(1-EXP(-0.045*D16))</x:f>
        <x:v>9.007712739026658</x:v>
      </x:c>
      <x:c r="I16" s="4" t="n">
        <x:f t="shared" si="4">IF(ISNUMBER(E16),IF(E16&gt;0,(10^(10.08514-3*LOG10(13*F16)))/E16,"No cycles"),"")</x:f>
        <x:v>1674.580725379978</x:v>
      </x:c>
      <x:c r="J16" s="4" t="n">
        <x:f t="shared" si="5">IF(ISNUMBER(E16),IF(E16&gt;0,(10^(10.08514-3*LOG10(13*G16)))/E16,"No cycles"),"")</x:f>
        <x:v>1530.6256810839539</x:v>
      </x:c>
      <x:c r="K16" s="4" t="n">
        <x:f t="shared" si="6">IF(ISNUMBER(E16),IF(E16&gt;0,(10^(10.08514-3*LOG10(13*H16)))/E16,"No cycles"),"")</x:f>
        <x:v>856.8207951553875</x:v>
      </x:c>
      <x:c r="L16" s="12" t="n">
        <x:f t="shared" si="7">IF(ISNUMBER(I16),MIN(I16,J16),IF(ISNUMBER(E16),IF(E16=0,"No cycles",""),""))</x:f>
        <x:v>1530.6256810839539</x:v>
      </x:c>
      <x:c r="M16" s="4" t="n">
        <x:f t="shared" si="8">IF(ISNUMBER(L16),L16-$G$6,"")</x:f>
        <x:v>1483.2416975110586</x:v>
      </x:c>
      <x:c r="N16" s="4" t="n">
        <x:f t="shared" si="9">IF(ISNUMBER(L16),L16-$G$8,"")</x:f>
        <x:v>1482.7625736233103</x:v>
      </x:c>
      <x:c r="O16" s="64" t="str">
        <x:v>Yes</x:v>
      </x:c>
      <x:c r="P16" s="64" t="str">
        <x:v>No</x:v>
      </x:c>
      <x:c r="Q16" s="65" t="n">
        <x:f>IF(ISNUMBER(N16),IF(O16="Yes",N16/10,IF(O16="No",N16,"Select Yes/No")),"")</x:f>
        <x:v>148.27625736233102</x:v>
      </x:c>
      <x:c r="R16" s="82" t="n">
        <x:f>IF(ISNUMBER(Q16),IF(P16="No",Q16,IF(P16="Yes",IF(AND(ISNUMBER(Y16),Y16&gt;0),Q16/Y16,"Missing DWML inputs"),"Select Yes/No")),IF(Q16="Select Yes/No",Q16,""))</x:f>
        <x:v>148.27625736233102</x:v>
      </x:c>
      <x:c r="S16"/>
      <x:c r="T16" s="1" t="str">
        <x:v>—</x:v>
      </x:c>
      <x:c r="U16" s="66"/>
      <x:c r="V16" s="66" t="n">
        <x:v>1.24</x:v>
      </x:c>
      <x:c r="W16" s="73" t="n">
        <x:f>C16</x:f>
        <x:v>0.34</x:v>
      </x:c>
      <x:c r="X16" s="73" t="str">
        <x:f>IF(AND(ISNUMBER(U16),U16&gt;=0,U16&lt;100,ISNUMBER(W16),W16&gt;0),W16*(1-U16/100),"")</x:f>
      </x:c>
      <x:c r="Y16" s="73" t="str">
        <x:f>IF(AND(ISNUMBER(X16),X16&gt;0,ISNUMBER(V16),V16&gt;0,ISNUMBER(Z16),Z16&gt;0),(V16*W16/X16)^Z16,"")</x:f>
      </x:c>
      <x:c r="Z16" s="80" t="n">
        <x:v>3</x:v>
      </x:c>
    </x:row>
    <x:row r="17" ht="21" customHeight="1">
      <x:c r="A17" s="1" t="s">
        <x:v>41</x:v>
      </x:c>
      <x:c r="B17" s="8">
        <x:v>24</x:v>
      </x:c>
      <x:c r="C17" s="8">
        <x:v>0.33500000000000002</x:v>
      </x:c>
      <x:c r="D17" s="3" t="n">
        <x:f t="shared" si="0">B17/C17</x:f>
        <x:v>71.64179104477611</x:v>
      </x:c>
      <x:c r="E17" s="26" t="n">
        <x:f>IF(ISNUMBER('Pressure Cycling'!K17),'Pressure Cycling'!K17,"")</x:f>
        <x:v>9.244399198808445</x:v>
      </x:c>
      <x:c r="F17" s="3" t="n">
        <x:f t="shared" si="1">(0.1183*D17)-1.146</x:f>
        <x:v>7.329223880597014</x:v>
      </x:c>
      <x:c r="G17" s="3" t="n">
        <x:f t="shared" si="2">7.5*(1-EXP(-0.065*D17))</x:f>
        <x:v>7.428768019520352</x:v>
      </x:c>
      <x:c r="H17" s="3" t="n">
        <x:f t="shared" si="3">9.4*(1-EXP(-0.045*D17))</x:f>
        <x:v>9.025877093197217</x:v>
      </x:c>
      <x:c r="I17" s="4" t="n">
        <x:f t="shared" si="4">IF(ISNUMBER(E17),IF(E17&gt;0,(10^(10.08514-3*LOG10(13*F17)))/E17,"No cycles"),"")</x:f>
        <x:v>1521.4486104049815</x:v>
      </x:c>
      <x:c r="J17" s="4" t="n">
        <x:f t="shared" si="5">IF(ISNUMBER(E17),IF(E17&gt;0,(10^(10.08514-3*LOG10(13*G17)))/E17,"No cycles"),"")</x:f>
        <x:v>1461.1030983382989</x:v>
      </x:c>
      <x:c r="K17" s="4" t="n">
        <x:f t="shared" si="6">IF(ISNUMBER(E17),IF(E17&gt;0,(10^(10.08514-3*LOG10(13*H17)))/E17,"No cycles"),"")</x:f>
        <x:v>814.6348884554012</x:v>
      </x:c>
      <x:c r="L17" s="12" t="n">
        <x:f t="shared" si="7">IF(ISNUMBER(I17),MIN(I17,J17),IF(ISNUMBER(E17),IF(E17=0,"No cycles",""),""))</x:f>
        <x:v>1461.1030983382989</x:v>
      </x:c>
      <x:c r="M17" s="4" t="n">
        <x:f t="shared" si="8">IF(ISNUMBER(L17),L17-$G$6,"")</x:f>
        <x:v>1413.7191147654037</x:v>
      </x:c>
      <x:c r="N17" s="4" t="n">
        <x:f t="shared" si="9">IF(ISNUMBER(L17),L17-$G$8,"")</x:f>
        <x:v>1413.2399908776554</x:v>
      </x:c>
      <x:c r="O17" s="64" t="str">
        <x:v>Yes</x:v>
      </x:c>
      <x:c r="P17" s="64" t="str">
        <x:v>No</x:v>
      </x:c>
      <x:c r="Q17" s="65" t="n">
        <x:f>IF(ISNUMBER(N17),IF(O17="Yes",N17/10,IF(O17="No",N17,"Select Yes/No")),"")</x:f>
        <x:v>141.32399908776554</x:v>
      </x:c>
      <x:c r="R17" s="82" t="n">
        <x:f>IF(ISNUMBER(Q17),IF(P17="No",Q17,IF(P17="Yes",IF(AND(ISNUMBER(Y17),Y17&gt;0),Q17/Y17,"Missing DWML inputs"),"Select Yes/No")),IF(Q17="Select Yes/No",Q17,""))</x:f>
        <x:v>141.32399908776554</x:v>
      </x:c>
      <x:c r="S17"/>
      <x:c r="T17" s="1" t="str">
        <x:v>—</x:v>
      </x:c>
      <x:c r="U17" s="66"/>
      <x:c r="V17" s="66" t="n">
        <x:v>1.24</x:v>
      </x:c>
      <x:c r="W17" s="73" t="n">
        <x:f>C17</x:f>
        <x:v>0.335</x:v>
      </x:c>
      <x:c r="X17" s="73" t="str">
        <x:f>IF(AND(ISNUMBER(U17),U17&gt;=0,U17&lt;100,ISNUMBER(W17),W17&gt;0),W17*(1-U17/100),"")</x:f>
      </x:c>
      <x:c r="Y17" s="73" t="str">
        <x:f>IF(AND(ISNUMBER(X17),X17&gt;0,ISNUMBER(V17),V17&gt;0,ISNUMBER(Z17),Z17&gt;0),(V17*W17/X17)^Z17,"")</x:f>
      </x:c>
      <x:c r="Z17" s="80" t="n">
        <x:v>3</x:v>
      </x:c>
    </x:row>
    <x:row r="18" ht="21" customHeight="1">
      <x:c r="A18" s="1" t="s">
        <x:v>42</x:v>
      </x:c>
      <x:c r="B18" s="8">
        <x:v>24</x:v>
      </x:c>
      <x:c r="C18" s="8">
        <x:v>0.33900000000000002</x:v>
      </x:c>
      <x:c r="D18" s="3" t="n">
        <x:f t="shared" si="0">B18/C18</x:f>
        <x:v>70.79646017699115</x:v>
      </x:c>
      <x:c r="E18" s="26" t="n">
        <x:f>IF(ISNUMBER('Pressure Cycling'!K18),'Pressure Cycling'!K18,"")</x:f>
        <x:v>8.921009826678757</x:v>
      </x:c>
      <x:c r="F18" s="3" t="n">
        <x:f t="shared" si="1">(0.1183*D18)-1.146</x:f>
        <x:v>7.229221238938053</x:v>
      </x:c>
      <x:c r="G18" s="3" t="n">
        <x:f t="shared" si="2">7.5*(1-EXP(-0.065*D18))</x:f>
        <x:v>7.424744545351892</x:v>
      </x:c>
      <x:c r="H18" s="3" t="n">
        <x:f t="shared" si="3">9.4*(1-EXP(-0.045*D18))</x:f>
        <x:v>9.011371350050059</x:v>
      </x:c>
      <x:c r="I18" s="4" t="n">
        <x:f t="shared" si="4">IF(ISNUMBER(E18),IF(E18&gt;0,(10^(10.08514-3*LOG10(13*F18)))/E18,"No cycles"),"")</x:f>
        <x:v>1642.9387684126743</x:v>
      </x:c>
      <x:c r="J18" s="4" t="n">
        <x:f t="shared" si="5">IF(ISNUMBER(E18),IF(E18&gt;0,(10^(10.08514-3*LOG10(13*G18)))/E18,"No cycles"),"")</x:f>
        <x:v>1516.5312970918567</x:v>
      </x:c>
      <x:c r="K18" s="4" t="n">
        <x:f t="shared" si="6">IF(ISNUMBER(E18),IF(E18&gt;0,(10^(10.08514-3*LOG10(13*H18)))/E18,"No cycles"),"")</x:f>
        <x:v>848.2488207642214</x:v>
      </x:c>
      <x:c r="L18" s="12" t="n">
        <x:f t="shared" si="7">IF(ISNUMBER(I18),MIN(I18,J18),IF(ISNUMBER(E18),IF(E18=0,"No cycles",""),""))</x:f>
        <x:v>1516.5312970918567</x:v>
      </x:c>
      <x:c r="M18" s="4" t="n">
        <x:f t="shared" si="8">IF(ISNUMBER(L18),L18-$G$6,"")</x:f>
        <x:v>1469.1473135189615</x:v>
      </x:c>
      <x:c r="N18" s="4" t="n">
        <x:f t="shared" si="9">IF(ISNUMBER(L18),L18-$G$8,"")</x:f>
        <x:v>1468.6681896312132</x:v>
      </x:c>
      <x:c r="O18" s="64" t="str">
        <x:v>Yes</x:v>
      </x:c>
      <x:c r="P18" s="64" t="str">
        <x:v>Yes</x:v>
      </x:c>
      <x:c r="Q18" s="65" t="n">
        <x:f>IF(ISNUMBER(N18),IF(O18="Yes",N18/10,IF(O18="No",N18,"Select Yes/No")),"")</x:f>
        <x:v>146.86681896312132</x:v>
      </x:c>
      <x:c r="R18" s="82" t="n">
        <x:f>IF(ISNUMBER(Q18),IF(P18="No",Q18,IF(P18="Yes",IF(AND(ISNUMBER(Y18),Y18&gt;0),Q18/Y18,"Missing DWML inputs"),"Select Yes/No")),IF(Q18="Select Yes/No",Q18,""))</x:f>
        <x:v>43.04649257339408</x:v>
      </x:c>
      <x:c r="S18"/>
      <x:c r="T18" s="10">
        <x:v>7588</x:v>
      </x:c>
      <x:c r="U18" s="66" t="n">
        <x:v>17.6317739694303</x:v>
      </x:c>
      <x:c r="V18" s="66">
        <x:v>1.24</x:v>
      </x:c>
      <x:c r="W18" s="74" t="n">
        <x:f>C18</x:f>
        <x:v>0.339</x:v>
      </x:c>
      <x:c r="X18" s="73" t="n">
        <x:f>IF(AND(ISNUMBER(U18),U18&gt;=0,U18&lt;100,ISNUMBER(W18),W18&gt;0),W18*(1-U18/100),"")</x:f>
        <x:v>0.27922828624363133</x:v>
      </x:c>
      <x:c r="Y18" s="75" t="n">
        <x:f>IF(AND(ISNUMBER(X18),X18&gt;0,ISNUMBER(V18),V18&gt;0,ISNUMBER(Z18),Z18&gt;0),(V18*W18/X18)^Z18,"")</x:f>
        <x:v>3.411818482370289</x:v>
      </x:c>
      <x:c r="Z18" s="80">
        <x:v>3</x:v>
      </x:c>
    </x:row>
    <x:row r="19" ht="21" customHeight="1">
      <x:c r="A19" s="1" t="s">
        <x:v>43</x:v>
      </x:c>
      <x:c r="B19" s="8">
        <x:v>24</x:v>
      </x:c>
      <x:c r="C19" s="8">
        <x:v>0.317</x:v>
      </x:c>
      <x:c r="D19" s="3" t="n">
        <x:f t="shared" si="0">B19/C19</x:f>
        <x:v>75.70977917981072</x:v>
      </x:c>
      <x:c r="E19" s="26" t="n">
        <x:f>IF(ISNUMBER('Pressure Cycling'!K19),'Pressure Cycling'!K19,"")</x:f>
        <x:v>10.910265663018349</x:v>
      </x:c>
      <x:c r="F19" s="3" t="n">
        <x:f t="shared" si="1">(0.1183*D19)-1.146</x:f>
        <x:v>7.810466876971609</x:v>
      </x:c>
      <x:c r="G19" s="3" t="n">
        <x:f t="shared" si="2">7.5*(1-EXP(-0.065*D19))</x:f>
        <x:v>7.445318652614561</x:v>
      </x:c>
      <x:c r="H19" s="3" t="n">
        <x:f t="shared" si="3">9.4*(1-EXP(-0.045*D19))</x:f>
        <x:v>9.088460883442648</x:v>
      </x:c>
      <x:c r="I19" s="4" t="n">
        <x:f t="shared" si="4">IF(ISNUMBER(E19),IF(E19&gt;0,(10^(10.08514-3*LOG10(13*F19)))/E19,"No cycles"),"")</x:f>
        <x:v>1065.2305973837624</x:v>
      </x:c>
      <x:c r="J19" s="4" t="n">
        <x:f t="shared" si="5">IF(ISNUMBER(E19),IF(E19&gt;0,(10^(10.08514-3*LOG10(13*G19)))/E19,"No cycles"),"")</x:f>
        <x:v>1229.7724165912537</x:v>
      </x:c>
      <x:c r="K19" s="4" t="n">
        <x:f t="shared" si="6">IF(ISNUMBER(E19),IF(E19&gt;0,(10^(10.08514-3*LOG10(13*H19)))/E19,"No cycles"),"")</x:f>
        <x:v>676.0885645510323</x:v>
      </x:c>
      <x:c r="L19" s="12" t="n">
        <x:f t="shared" si="7">IF(ISNUMBER(I19),MIN(I19,J19),IF(ISNUMBER(E19),IF(E19=0,"No cycles",""),""))</x:f>
        <x:v>1065.2305973837624</x:v>
      </x:c>
      <x:c r="M19" s="4" t="n">
        <x:f t="shared" si="8">IF(ISNUMBER(L19),L19-$G$6,"")</x:f>
        <x:v>1017.8466138108671</x:v>
      </x:c>
      <x:c r="N19" s="4" t="n">
        <x:f t="shared" si="9">IF(ISNUMBER(L19),L19-$G$8,"")</x:f>
        <x:v>1017.367489923119</x:v>
      </x:c>
      <x:c r="O19" s="64" t="str">
        <x:v>Yes</x:v>
      </x:c>
      <x:c r="P19" s="64" t="str">
        <x:v>No</x:v>
      </x:c>
      <x:c r="Q19" s="65" t="n">
        <x:f>IF(ISNUMBER(N19),IF(O19="Yes",N19/10,IF(O19="No",N19,"Select Yes/No")),"")</x:f>
        <x:v>101.7367489923119</x:v>
      </x:c>
      <x:c r="R19" s="82" t="n">
        <x:f>IF(ISNUMBER(Q19),IF(P19="No",Q19,IF(P19="Yes",IF(AND(ISNUMBER(Y19),Y19&gt;0),Q19/Y19,"Missing DWML inputs"),"Select Yes/No")),IF(Q19="Select Yes/No",Q19,""))</x:f>
        <x:v>101.7367489923119</x:v>
      </x:c>
      <x:c r="S19"/>
      <x:c r="T19" s="1" t="str">
        <x:v>—</x:v>
      </x:c>
      <x:c r="U19" s="66"/>
      <x:c r="V19" s="66" t="n">
        <x:v>1.24</x:v>
      </x:c>
      <x:c r="W19" s="73" t="n">
        <x:f>C19</x:f>
        <x:v>0.317</x:v>
      </x:c>
      <x:c r="X19" s="73" t="str">
        <x:f>IF(AND(ISNUMBER(U19),U19&gt;=0,U19&lt;100,ISNUMBER(W19),W19&gt;0),W19*(1-U19/100),"")</x:f>
      </x:c>
      <x:c r="Y19" s="73" t="str">
        <x:f>IF(AND(ISNUMBER(X19),X19&gt;0,ISNUMBER(V19),V19&gt;0,ISNUMBER(Z19),Z19&gt;0),(V19*W19/X19)^Z19,"")</x:f>
      </x:c>
      <x:c r="Z19" s="80" t="n">
        <x:v>3</x:v>
      </x:c>
    </x:row>
    <x:row r="20" ht="21" customHeight="1">
      <x:c r="A20" s="1" t="s">
        <x:v>44</x:v>
      </x:c>
      <x:c r="B20" s="8">
        <x:v>24</x:v>
      </x:c>
      <x:c r="C20" s="8">
        <x:v>0.32</x:v>
      </x:c>
      <x:c r="D20" s="3" t="n">
        <x:f t="shared" si="0">B20/C20</x:f>
        <x:v>75</x:v>
      </x:c>
      <x:c r="E20" s="26" t="n">
        <x:f>IF(ISNUMBER('Pressure Cycling'!K20),'Pressure Cycling'!K20,"")</x:f>
        <x:v>10.606282181668186</x:v>
      </x:c>
      <x:c r="F20" s="3" t="n">
        <x:f t="shared" si="1">(0.1183*D20)-1.146</x:f>
        <x:v>7.726500000000001</x:v>
      </x:c>
      <x:c r="G20" s="3" t="n">
        <x:f t="shared" si="2">7.5*(1-EXP(-0.065*D20))</x:f>
        <x:v>7.44273679335855</x:v>
      </x:c>
      <x:c r="H20" s="3" t="n">
        <x:f t="shared" si="3">9.4*(1-EXP(-0.045*D20))</x:f>
        <x:v>9.07834968787034</x:v>
      </x:c>
      <x:c r="I20" s="4" t="n">
        <x:f t="shared" si="4">IF(ISNUMBER(E20),IF(E20&gt;0,(10^(10.08514-3*LOG10(13*F20)))/E20,"No cycles"),"")</x:f>
        <x:v>1131.8746643398479</x:v>
      </x:c>
      <x:c r="J20" s="4" t="n">
        <x:f t="shared" si="5">IF(ISNUMBER(E20),IF(E20&gt;0,(10^(10.08514-3*LOG10(13*G20)))/E20,"No cycles"),"")</x:f>
        <x:v>1266.3355042302899</x:v>
      </x:c>
      <x:c r="K20" s="4" t="n">
        <x:f t="shared" si="6">IF(ISNUMBER(E20),IF(E20&gt;0,(10^(10.08514-3*LOG10(13*H20)))/E20,"No cycles"),"")</x:f>
        <x:v>697.7920928797046</x:v>
      </x:c>
      <x:c r="L20" s="12" t="n">
        <x:f t="shared" si="7">IF(ISNUMBER(I20),MIN(I20,J20),IF(ISNUMBER(E20),IF(E20=0,"No cycles",""),""))</x:f>
        <x:v>1131.8746643398479</x:v>
      </x:c>
      <x:c r="M20" s="4" t="n">
        <x:f t="shared" si="8">IF(ISNUMBER(L20),L20-$G$6,"")</x:f>
        <x:v>1084.4906807669527</x:v>
      </x:c>
      <x:c r="N20" s="4" t="n">
        <x:f t="shared" si="9">IF(ISNUMBER(L20),L20-$G$8,"")</x:f>
        <x:v>1084.0115568792044</x:v>
      </x:c>
      <x:c r="O20" s="64" t="str">
        <x:v>Yes</x:v>
      </x:c>
      <x:c r="P20" s="64" t="str">
        <x:v>No</x:v>
      </x:c>
      <x:c r="Q20" s="65" t="n">
        <x:f>IF(ISNUMBER(N20),IF(O20="Yes",N20/10,IF(O20="No",N20,"Select Yes/No")),"")</x:f>
        <x:v>108.40115568792044</x:v>
      </x:c>
      <x:c r="R20" s="82" t="n">
        <x:f>IF(ISNUMBER(Q20),IF(P20="No",Q20,IF(P20="Yes",IF(AND(ISNUMBER(Y20),Y20&gt;0),Q20/Y20,"Missing DWML inputs"),"Select Yes/No")),IF(Q20="Select Yes/No",Q20,""))</x:f>
        <x:v>108.40115568792044</x:v>
      </x:c>
      <x:c r="S20"/>
      <x:c r="T20" s="1" t="str">
        <x:v>—</x:v>
      </x:c>
      <x:c r="U20" s="66"/>
      <x:c r="V20" s="66" t="n">
        <x:v>1.24</x:v>
      </x:c>
      <x:c r="W20" s="73" t="n">
        <x:f>C20</x:f>
        <x:v>0.32</x:v>
      </x:c>
      <x:c r="X20" s="73" t="str">
        <x:f>IF(AND(ISNUMBER(U20),U20&gt;=0,U20&lt;100,ISNUMBER(W20),W20&gt;0),W20*(1-U20/100),"")</x:f>
      </x:c>
      <x:c r="Y20" s="73" t="str">
        <x:f>IF(AND(ISNUMBER(X20),X20&gt;0,ISNUMBER(V20),V20&gt;0,ISNUMBER(Z20),Z20&gt;0),(V20*W20/X20)^Z20,"")</x:f>
      </x:c>
      <x:c r="Z20" s="80" t="n">
        <x:v>3</x:v>
      </x:c>
    </x:row>
    <x:row r="21" ht="21" customHeight="1">
      <x:c r="A21" s="1" t="s">
        <x:v>45</x:v>
      </x:c>
      <x:c r="B21" s="8">
        <x:v>24</x:v>
      </x:c>
      <x:c r="C21" s="8">
        <x:v>0.33200000000000002</x:v>
      </x:c>
      <x:c r="D21" s="3" t="n">
        <x:f t="shared" si="0">B21/C21</x:f>
        <x:v>72.28915662650601</x:v>
      </x:c>
      <x:c r="E21" s="26" t="n">
        <x:f>IF(ISNUMBER('Pressure Cycling'!K21),'Pressure Cycling'!K21,"")</x:f>
        <x:v>9.497271671118982</x:v>
      </x:c>
      <x:c r="F21" s="3" t="n">
        <x:f t="shared" si="1">(0.1183*D21)-1.146</x:f>
        <x:v>7.405807228915662</x:v>
      </x:c>
      <x:c r="G21" s="3" t="n">
        <x:f t="shared" si="2">7.5*(1-EXP(-0.065*D21))</x:f>
        <x:v>7.431703185968739</x:v>
      </x:c>
      <x:c r="H21" s="3" t="n">
        <x:f t="shared" si="3">9.4*(1-EXP(-0.045*D21))</x:f>
        <x:v>9.036618618647902</x:v>
      </x:c>
      <x:c r="I21" s="4" t="n">
        <x:f t="shared" si="4">IF(ISNUMBER(E21),IF(E21&gt;0,(10^(10.08514-3*LOG10(13*F21)))/E21,"No cycles"),"")</x:f>
        <x:v>1435.4691781863519</x:v>
      </x:c>
      <x:c r="J21" s="4" t="n">
        <x:f t="shared" si="5">IF(ISNUMBER(E21),IF(E21&gt;0,(10^(10.08514-3*LOG10(13*G21)))/E21,"No cycles"),"")</x:f>
        <x:v>1420.515619902679</x:v>
      </x:c>
      <x:c r="K21" s="4" t="n">
        <x:f t="shared" si="6">IF(ISNUMBER(E21),IF(E21&gt;0,(10^(10.08514-3*LOG10(13*H21)))/E21,"No cycles"),"")</x:f>
        <x:v>790.1203013550872</x:v>
      </x:c>
      <x:c r="L21" s="12" t="n">
        <x:f t="shared" si="7">IF(ISNUMBER(I21),MIN(I21,J21),IF(ISNUMBER(E21),IF(E21=0,"No cycles",""),""))</x:f>
        <x:v>1420.515619902679</x:v>
      </x:c>
      <x:c r="M21" s="4" t="n">
        <x:f t="shared" si="8">IF(ISNUMBER(L21),L21-$G$6,"")</x:f>
        <x:v>1373.1316363297838</x:v>
      </x:c>
      <x:c r="N21" s="4" t="n">
        <x:f t="shared" si="9">IF(ISNUMBER(L21),L21-$G$8,"")</x:f>
        <x:v>1372.6525124420355</x:v>
      </x:c>
      <x:c r="O21" s="64" t="str">
        <x:v>Yes</x:v>
      </x:c>
      <x:c r="P21" s="64" t="str">
        <x:v>No</x:v>
      </x:c>
      <x:c r="Q21" s="65" t="n">
        <x:f>IF(ISNUMBER(N21),IF(O21="Yes",N21/10,IF(O21="No",N21,"Select Yes/No")),"")</x:f>
        <x:v>137.26525124420354</x:v>
      </x:c>
      <x:c r="R21" s="82" t="n">
        <x:f>IF(ISNUMBER(Q21),IF(P21="No",Q21,IF(P21="Yes",IF(AND(ISNUMBER(Y21),Y21&gt;0),Q21/Y21,"Missing DWML inputs"),"Select Yes/No")),IF(Q21="Select Yes/No",Q21,""))</x:f>
        <x:v>137.26525124420354</x:v>
      </x:c>
      <x:c r="S21"/>
      <x:c r="T21" s="31" t="str">
        <x:v>—</x:v>
      </x:c>
      <x:c r="U21" s="66"/>
      <x:c r="V21" s="66" t="n">
        <x:v>1.24</x:v>
      </x:c>
      <x:c r="W21" s="73" t="n">
        <x:f>C21</x:f>
        <x:v>0.332</x:v>
      </x:c>
      <x:c r="X21" s="73" t="str">
        <x:f>IF(AND(ISNUMBER(U21),U21&gt;=0,U21&lt;100,ISNUMBER(W21),W21&gt;0),W21*(1-U21/100),"")</x:f>
      </x:c>
      <x:c r="Y21" s="73" t="str">
        <x:f>IF(AND(ISNUMBER(X21),X21&gt;0,ISNUMBER(V21),V21&gt;0,ISNUMBER(Z21),Z21&gt;0),(V21*W21/X21)^Z21,"")</x:f>
      </x:c>
      <x:c r="Z21" s="80" t="n">
        <x:v>3</x:v>
      </x:c>
    </x:row>
    <x:row r="22" ht="21" customHeight="1">
      <x:c r="A22" s="1" t="s">
        <x:v>46</x:v>
      </x:c>
      <x:c r="B22" s="8">
        <x:v>24</x:v>
      </x:c>
      <x:c r="C22" s="8">
        <x:v>0.32700000000000001</x:v>
      </x:c>
      <x:c r="D22" s="3" t="n">
        <x:f t="shared" si="0">B22/C22</x:f>
        <x:v>73.39449541284404</x:v>
      </x:c>
      <x:c r="E22" s="26" t="n">
        <x:f>IF(ISNUMBER('Pressure Cycling'!K22),'Pressure Cycling'!K22,"")</x:f>
        <x:v>9.939621673248476</x:v>
      </x:c>
      <x:c r="F22" s="3" t="n">
        <x:f t="shared" si="1">(0.1183*D22)-1.146</x:f>
        <x:v>7.53656880733945</x:v>
      </x:c>
      <x:c r="G22" s="3" t="n">
        <x:f t="shared" si="2">7.5*(1-EXP(-0.065*D22))</x:f>
        <x:v>7.436437981555255</x:v>
      </x:c>
      <x:c r="H22" s="3" t="n">
        <x:f t="shared" si="3">9.4*(1-EXP(-0.045*D22))</x:f>
        <x:v>9.05425113954336</x:v>
      </x:c>
      <x:c r="I22" s="4" t="n">
        <x:f t="shared" si="4">IF(ISNUMBER(E22),IF(E22&gt;0,(10^(10.08514-3*LOG10(13*F22)))/E22,"No cycles"),"")</x:f>
        <x:v>1301.4248141473754</x:v>
      </x:c>
      <x:c r="J22" s="4" t="n">
        <x:f t="shared" si="5">IF(ISNUMBER(E22),IF(E22&gt;0,(10^(10.08514-3*LOG10(13*G22)))/E22,"No cycles"),"")</x:f>
        <x:v>1354.7064782503555</x:v>
      </x:c>
      <x:c r="K22" s="4" t="n">
        <x:f t="shared" si="6">IF(ISNUMBER(E22),IF(E22&gt;0,(10^(10.08514-3*LOG10(13*H22)))/E22,"No cycles"),"")</x:f>
        <x:v>750.5549255601612</x:v>
      </x:c>
      <x:c r="L22" s="12" t="n">
        <x:f t="shared" si="7">IF(ISNUMBER(I22),MIN(I22,J22),IF(ISNUMBER(E22),IF(E22=0,"No cycles",""),""))</x:f>
        <x:v>1301.4248141473754</x:v>
      </x:c>
      <x:c r="M22" s="4" t="n">
        <x:f t="shared" si="8">IF(ISNUMBER(L22),L22-$G$6,"")</x:f>
        <x:v>1254.0408305744802</x:v>
      </x:c>
      <x:c r="N22" s="4" t="n">
        <x:f t="shared" si="9">IF(ISNUMBER(L22),L22-$G$8,"")</x:f>
        <x:v>1253.561706686732</x:v>
      </x:c>
      <x:c r="O22" s="64" t="str">
        <x:v>Yes</x:v>
      </x:c>
      <x:c r="P22" s="64" t="str">
        <x:v>No</x:v>
      </x:c>
      <x:c r="Q22" s="65" t="n">
        <x:f>IF(ISNUMBER(N22),IF(O22="Yes",N22/10,IF(O22="No",N22,"Select Yes/No")),"")</x:f>
        <x:v>125.35617066867319</x:v>
      </x:c>
      <x:c r="R22" s="82" t="n">
        <x:f>IF(ISNUMBER(Q22),IF(P22="No",Q22,IF(P22="Yes",IF(AND(ISNUMBER(Y22),Y22&gt;0),Q22/Y22,"Missing DWML inputs"),"Select Yes/No")),IF(Q22="Select Yes/No",Q22,""))</x:f>
        <x:v>125.35617066867319</x:v>
      </x:c>
      <x:c r="S22"/>
      <x:c r="T22" s="30" t="str">
        <x:v>—</x:v>
      </x:c>
      <x:c r="U22" s="66"/>
      <x:c r="V22" s="66" t="n">
        <x:v>1.24</x:v>
      </x:c>
      <x:c r="W22" s="73" t="n">
        <x:f>C22</x:f>
        <x:v>0.327</x:v>
      </x:c>
      <x:c r="X22" s="73" t="str">
        <x:f>IF(AND(ISNUMBER(U22),U22&gt;=0,U22&lt;100,ISNUMBER(W22),W22&gt;0),W22*(1-U22/100),"")</x:f>
      </x:c>
      <x:c r="Y22" s="73" t="str">
        <x:f>IF(AND(ISNUMBER(X22),X22&gt;0,ISNUMBER(V22),V22&gt;0,ISNUMBER(Z22),Z22&gt;0),(V22*W22/X22)^Z22,"")</x:f>
      </x:c>
      <x:c r="Z22" s="80" t="n">
        <x:v>3</x:v>
      </x:c>
    </x:row>
    <x:row r="23" ht="21" customHeight="1">
      <x:c r="A23" s="1" t="s">
        <x:v>47</x:v>
      </x:c>
      <x:c r="B23" s="8">
        <x:v>24</x:v>
      </x:c>
      <x:c r="C23" s="8">
        <x:v>0.32200000000000001</x:v>
      </x:c>
      <x:c r="D23" s="3" t="n">
        <x:f t="shared" si="0">B23/C23</x:f>
        <x:v>74.53416149068323</x:v>
      </x:c>
      <x:c r="E23" s="26" t="n">
        <x:f>IF(ISNUMBER('Pressure Cycling'!K23),'Pressure Cycling'!K23,"")</x:f>
        <x:v>10.409874584556587</x:v>
      </x:c>
      <x:c r="F23" s="3" t="n">
        <x:f t="shared" si="1">(0.1183*D23)-1.146</x:f>
        <x:v>7.671391304347826</x:v>
      </x:c>
      <x:c r="G23" s="3" t="n">
        <x:f t="shared" si="2">7.5*(1-EXP(-0.065*D23))</x:f>
        <x:v>7.4409763741061665</x:v>
      </x:c>
      <x:c r="H23" s="3" t="n">
        <x:f t="shared" si="3">9.4*(1-EXP(-0.045*D23))</x:f>
        <x:v>9.071535849465212</x:v>
      </x:c>
      <x:c r="I23" s="4" t="n">
        <x:f t="shared" si="4">IF(ISNUMBER(E23),IF(E23&gt;0,(10^(10.08514-3*LOG10(13*F23)))/E23,"No cycles"),"")</x:f>
        <x:v>1178.2624517927413</x:v>
      </x:c>
      <x:c r="J23" s="4" t="n">
        <x:f t="shared" si="5">IF(ISNUMBER(E23),IF(E23&gt;0,(10^(10.08514-3*LOG10(13*G23)))/E23,"No cycles"),"")</x:f>
        <x:v>1291.1439630791187</x:v>
      </x:c>
      <x:c r="K23" s="4" t="n">
        <x:f t="shared" si="6">IF(ISNUMBER(E23),IF(E23&gt;0,(10^(10.08514-3*LOG10(13*H23)))/E23,"No cycles"),"")</x:f>
        <x:v>712.560890837611</x:v>
      </x:c>
      <x:c r="L23" s="12" t="n">
        <x:f t="shared" si="7">IF(ISNUMBER(I23),MIN(I23,J23),IF(ISNUMBER(E23),IF(E23=0,"No cycles",""),""))</x:f>
        <x:v>1178.2624517927413</x:v>
      </x:c>
      <x:c r="M23" s="4" t="n">
        <x:f t="shared" si="8">IF(ISNUMBER(L23),L23-$G$6,"")</x:f>
        <x:v>1130.8784682198461</x:v>
      </x:c>
      <x:c r="N23" s="4" t="n">
        <x:f t="shared" si="9">IF(ISNUMBER(L23),L23-$G$8,"")</x:f>
        <x:v>1130.3993443320978</x:v>
      </x:c>
      <x:c r="O23" s="64" t="str">
        <x:v>Yes</x:v>
      </x:c>
      <x:c r="P23" s="64" t="str">
        <x:v>No</x:v>
      </x:c>
      <x:c r="Q23" s="65" t="n">
        <x:f>IF(ISNUMBER(N23),IF(O23="Yes",N23/10,IF(O23="No",N23,"Select Yes/No")),"")</x:f>
        <x:v>113.03993443320978</x:v>
      </x:c>
      <x:c r="R23" s="82" t="n">
        <x:f>IF(ISNUMBER(Q23),IF(P23="No",Q23,IF(P23="Yes",IF(AND(ISNUMBER(Y23),Y23&gt;0),Q23/Y23,"Missing DWML inputs"),"Select Yes/No")),IF(Q23="Select Yes/No",Q23,""))</x:f>
        <x:v>113.03993443320978</x:v>
      </x:c>
      <x:c r="S23"/>
      <x:c r="T23" s="1" t="str">
        <x:v>—</x:v>
      </x:c>
      <x:c r="U23" s="66"/>
      <x:c r="V23" s="66" t="n">
        <x:v>1.24</x:v>
      </x:c>
      <x:c r="W23" s="73" t="n">
        <x:f>C23</x:f>
        <x:v>0.322</x:v>
      </x:c>
      <x:c r="X23" s="73" t="str">
        <x:f>IF(AND(ISNUMBER(U23),U23&gt;=0,U23&lt;100,ISNUMBER(W23),W23&gt;0),W23*(1-U23/100),"")</x:f>
      </x:c>
      <x:c r="Y23" s="73" t="str">
        <x:f>IF(AND(ISNUMBER(X23),X23&gt;0,ISNUMBER(V23),V23&gt;0,ISNUMBER(Z23),Z23&gt;0),(V23*W23/X23)^Z23,"")</x:f>
      </x:c>
      <x:c r="Z23" s="80" t="n">
        <x:v>3</x:v>
      </x:c>
    </x:row>
    <x:row r="24" ht="30" customHeight="1">
      <x:c r="A24" s="1" t="s">
        <x:v>48</x:v>
      </x:c>
      <x:c r="B24" s="8">
        <x:v>24</x:v>
      </x:c>
      <x:c r="C24" s="8">
        <x:v>0.41899999999999998</x:v>
      </x:c>
      <x:c r="D24" s="3" t="n">
        <x:f t="shared" si="0">B24/C24</x:f>
        <x:v>57.279236276849645</x:v>
      </x:c>
      <x:c r="E24" s="26" t="n">
        <x:f>IF(ISNUMBER('Pressure Cycling'!K24),'Pressure Cycling'!K24,"")</x:f>
        <x:v>4.724665249777779</x:v>
      </x:c>
      <x:c r="F24" s="3" t="n">
        <x:f t="shared" si="1">(0.1183*D24)-1.146</x:f>
        <x:v>5.630133651551313</x:v>
      </x:c>
      <x:c r="G24" s="3" t="n">
        <x:f t="shared" si="2">7.5*(1-EXP(-0.065*D24))</x:f>
        <x:v>7.318816932725631</x:v>
      </x:c>
      <x:c r="H24" s="3" t="n">
        <x:f t="shared" si="3">9.4*(1-EXP(-0.045*D24))</x:f>
        <x:v>8.685988309253654</x:v>
      </x:c>
      <x:c r="I24" s="4" t="n">
        <x:f t="shared" si="4">IF(ISNUMBER(E24),IF(E24&gt;0,(10^(10.08514-3*LOG10(13*F24)))/E24,"No cycles"),"")</x:f>
        <x:v>6567.238460123453</x:v>
      </x:c>
      <x:c r="J24" s="4" t="n">
        <x:f t="shared" si="5">IF(ISNUMBER(E24),IF(E24&gt;0,(10^(10.08514-3*LOG10(13*G24)))/E24,"No cycles"),"")</x:f>
        <x:v>2989.6217681872063</x:v>
      </x:c>
      <x:c r="K24" s="4" t="n">
        <x:f t="shared" si="6">IF(ISNUMBER(E24),IF(E24&gt;0,(10^(10.08514-3*LOG10(13*H24)))/E24,"No cycles"),"")</x:f>
        <x:v>1788.468017077888</x:v>
      </x:c>
      <x:c r="L24" s="12" t="n">
        <x:f>IF(ISNUMBER(I24),MIN(I24,K24),IF(ISNUMBER(E24),IF(E24=0,"No cycles",""),""))</x:f>
        <x:v>1788.468017077888</x:v>
      </x:c>
      <x:c r="M24" s="4" t="n">
        <x:f t="shared" si="8">IF(ISNUMBER(L24),L24-$G$6,"")</x:f>
        <x:v>1741.0840335049927</x:v>
      </x:c>
      <x:c r="N24" s="4" t="n">
        <x:f t="shared" si="9">IF(ISNUMBER(L24),L24-$G$8,"")</x:f>
        <x:v>1740.6049096172444</x:v>
      </x:c>
      <x:c r="O24" s="64" t="str">
        <x:v>Yes</x:v>
      </x:c>
      <x:c r="P24" s="64" t="str">
        <x:v>No</x:v>
      </x:c>
      <x:c r="Q24" s="65" t="n">
        <x:f>IF(ISNUMBER(N24),IF(O24="Yes",N24/10,IF(O24="No",N24,"Select Yes/No")),"")</x:f>
        <x:v>174.06049096172444</x:v>
      </x:c>
      <x:c r="R24" s="82" t="n">
        <x:f>IF(ISNUMBER(Q24),IF(P24="No",Q24,IF(P24="Yes",IF(AND(ISNUMBER(Y24),Y24&gt;0),Q24/Y24,"Missing DWML inputs"),"Select Yes/No")),IF(Q24="Select Yes/No",Q24,""))</x:f>
        <x:v>174.06049096172444</x:v>
      </x:c>
      <x:c r="S24"/>
      <x:c r="T24" s="52" t="str">
        <x:v>—</x:v>
      </x:c>
      <x:c r="U24" s="76"/>
      <x:c r="V24" s="76" t="n">
        <x:v>1.24</x:v>
      </x:c>
      <x:c r="W24" s="77" t="n">
        <x:f>C24</x:f>
        <x:v>0.419</x:v>
      </x:c>
      <x:c r="X24" s="78" t="str">
        <x:f>IF(AND(ISNUMBER(U24),U24&gt;=0,U24&lt;100,ISNUMBER(W24),W24&gt;0),W24*(1-U24/100),"")</x:f>
      </x:c>
      <x:c r="Y24" s="78" t="str">
        <x:f>IF(AND(ISNUMBER(X24),X24&gt;0,ISNUMBER(V24),V24&gt;0,ISNUMBER(Z24),Z24&gt;0),(V24*W24/X24)^Z24,"")</x:f>
      </x:c>
      <x:c r="Z24" s="80" t="n">
        <x:v>3</x:v>
      </x:c>
    </x:row>
    <x:row r="25" ht="36" customHeight="1">
      <x:c r="A25" s="1" t="s">
        <x:v>49</x:v>
      </x:c>
      <x:c r="B25" s="8">
        <x:v>24</x:v>
      </x:c>
      <x:c r="C25" s="8">
        <x:v>0.33600000000000002</x:v>
      </x:c>
      <x:c r="D25" s="3" t="n">
        <x:f t="shared" si="0">B25/C25</x:f>
        <x:v>71.42857142857143</x:v>
      </x:c>
      <x:c r="E25" s="26" t="n">
        <x:f>IF(ISNUMBER('Pressure Cycling'!K25),'Pressure Cycling'!K25,"")</x:f>
        <x:v>9.162105329159433</x:v>
      </x:c>
      <x:c r="F25" s="3" t="n">
        <x:f t="shared" si="1">(0.1183*D25)-1.146</x:f>
        <x:v>7.304000000000001</x:v>
      </x:c>
      <x:c r="G25" s="3" t="n">
        <x:f t="shared" si="2">7.5*(1-EXP(-0.065*D25))</x:f>
        <x:v>7.427773923094473</x:v>
      </x:c>
      <x:c r="H25" s="3" t="n">
        <x:f t="shared" si="3">9.4*(1-EXP(-0.045*D25))</x:f>
        <x:v>9.022270151359908</x:v>
      </x:c>
      <x:c r="I25" s="4" t="n">
        <x:f t="shared" si="4">IF(ISNUMBER(E25),IF(E25&gt;0,(10^(10.08514-3*LOG10(13*F25)))/E25,"No cycles"),"")</x:f>
        <x:v>1551.0734689092083</x:v>
      </x:c>
      <x:c r="J25" s="4" t="n">
        <x:f t="shared" si="5">IF(ISNUMBER(E25),IF(E25&gt;0,(10^(10.08514-3*LOG10(13*G25)))/E25,"No cycles"),"")</x:f>
        <x:v>1474.8186895790268</x:v>
      </x:c>
      <x:c r="K25" s="4" t="n">
        <x:f t="shared" si="6">IF(ISNUMBER(E25),IF(E25&gt;0,(10^(10.08514-3*LOG10(13*H25)))/E25,"No cycles"),"")</x:f>
        <x:v>822.9381238456904</x:v>
      </x:c>
      <x:c r="L25" s="12" t="n">
        <x:f>IF(ISNUMBER(I25),MIN(I25,J25),IF(ISNUMBER(E25),IF(E25=0,"No cycles",""),""))</x:f>
        <x:v>1474.8186895790268</x:v>
      </x:c>
      <x:c r="M25" s="4" t="n">
        <x:f t="shared" si="8">IF(ISNUMBER(L25),L25-$G$6,"")</x:f>
        <x:v>1427.4347060061316</x:v>
      </x:c>
      <x:c r="N25" s="4" t="n">
        <x:f t="shared" si="9">IF(ISNUMBER(L25),L25-$G$8,"")</x:f>
        <x:v>1426.9555821183833</x:v>
      </x:c>
      <x:c r="O25" s="64" t="str">
        <x:v>Yes</x:v>
      </x:c>
      <x:c r="P25" s="64" t="str">
        <x:v>No</x:v>
      </x:c>
      <x:c r="Q25" s="65" t="n">
        <x:f>IF(ISNUMBER(N25),IF(O25="Yes",N25/10,IF(O25="No",N25,"Select Yes/No")),"")</x:f>
        <x:v>142.69555821183832</x:v>
      </x:c>
      <x:c r="R25" s="82" t="n">
        <x:f>IF(ISNUMBER(Q25),IF(P25="No",Q25,IF(P25="Yes",IF(AND(ISNUMBER(Y25),Y25&gt;0),Q25/Y25,"Missing DWML inputs"),"Select Yes/No")),IF(Q25="Select Yes/No",Q25,""))</x:f>
        <x:v>142.69555821183832</x:v>
      </x:c>
      <x:c r="S25"/>
      <x:c r="T25" s="37" t="str">
        <x:v>—</x:v>
      </x:c>
      <x:c r="U25" s="70"/>
      <x:c r="V25" s="70" t="n">
        <x:v>1.24</x:v>
      </x:c>
      <x:c r="W25" s="79" t="n">
        <x:f>C25</x:f>
        <x:v>0.336</x:v>
      </x:c>
      <x:c r="X25" s="79" t="str">
        <x:f>IF(AND(ISNUMBER(U25),U25&gt;=0,U25&lt;100,ISNUMBER(W25),W25&gt;0),W25*(1-U25/100),"")</x:f>
      </x:c>
      <x:c r="Y25" s="79" t="str">
        <x:f>IF(AND(ISNUMBER(X25),X25&gt;0,ISNUMBER(V25),V25&gt;0,ISNUMBER(Z25),Z25&gt;0),(V25*W25/X25)^Z25,"")</x:f>
      </x:c>
      <x:c r="Z25" s="81" t="n">
        <x:v>3</x:v>
      </x:c>
    </x:row>
    <x:row r="26" ht="36" customHeight="1">
      <x:c r="A26" s="1" t="s">
        <x:v>50</x:v>
      </x:c>
      <x:c r="B26" s="8">
        <x:v>24</x:v>
      </x:c>
      <x:c r="C26" s="8">
        <x:v>0.32800000000000001</x:v>
      </x:c>
      <x:c r="D26" s="3" t="n">
        <x:f t="shared" si="0">B26/C26</x:f>
        <x:v>73.17073170731707</x:v>
      </x:c>
      <x:c r="E26" s="26" t="n">
        <x:f>IF(ISNUMBER('Pressure Cycling'!K26),'Pressure Cycling'!K26,"")</x:f>
        <x:v>9.848987385945705</x:v>
      </x:c>
      <x:c r="F26" s="3" t="n">
        <x:f t="shared" si="1">(0.1183*D26)-1.146</x:f>
        <x:v>7.51009756097561</x:v>
      </x:c>
      <x:c r="G26" s="3" t="n">
        <x:f t="shared" si="2">7.5*(1-EXP(-0.065*D26))</x:f>
        <x:v>7.4355067389467475</x:v>
      </x:c>
      <x:c r="H26" s="3" t="n">
        <x:f t="shared" si="3">9.4*(1-EXP(-0.045*D26))</x:f>
        <x:v>9.050752080374158</x:v>
      </x:c>
      <x:c r="I26" s="4" t="n">
        <x:f t="shared" si="4">IF(ISNUMBER(E26),IF(E26&gt;0,(10^(10.08514-3*LOG10(13*F26)))/E26,"No cycles"),"")</x:f>
        <x:v>1327.3382981975028</x:v>
      </x:c>
      <x:c r="J26" s="4" t="n">
        <x:f t="shared" si="5">IF(ISNUMBER(E26),IF(E26&gt;0,(10^(10.08514-3*LOG10(13*G26)))/E26,"No cycles"),"")</x:f>
        <x:v>1367.6867739173056</x:v>
      </x:c>
      <x:c r="K26" s="4" t="n">
        <x:f t="shared" si="6">IF(ISNUMBER(E26),IF(E26&gt;0,(10^(10.08514-3*LOG10(13*H26)))/E26,"No cycles"),"")</x:f>
        <x:v>758.3406831553676</x:v>
      </x:c>
      <x:c r="L26" s="12" t="n">
        <x:f>IF(ISNUMBER(I26),MIN(I26,J26),IF(ISNUMBER(E26),IF(E26=0,"No cycles",""),""))</x:f>
        <x:v>1327.3382981975028</x:v>
      </x:c>
      <x:c r="M26" s="4" t="n">
        <x:f t="shared" si="8">IF(ISNUMBER(L26),L26-$G$6,"")</x:f>
        <x:v>1279.9543146246076</x:v>
      </x:c>
      <x:c r="N26" s="4" t="n">
        <x:f t="shared" si="9">IF(ISNUMBER(L26),L26-$G$8,"")</x:f>
        <x:v>1279.4751907368593</x:v>
      </x:c>
      <x:c r="O26" s="64" t="str">
        <x:v>Yes</x:v>
      </x:c>
      <x:c r="P26" s="64" t="str">
        <x:v>No</x:v>
      </x:c>
      <x:c r="Q26" s="65" t="n">
        <x:f>IF(ISNUMBER(N26),IF(O26="Yes",N26/10,IF(O26="No",N26,"Select Yes/No")),"")</x:f>
        <x:v>127.94751907368592</x:v>
      </x:c>
      <x:c r="R26" s="82" t="n">
        <x:f>IF(ISNUMBER(Q26),IF(P26="No",Q26,IF(P26="Yes",IF(AND(ISNUMBER(Y26),Y26&gt;0),Q26/Y26,"Missing DWML inputs"),"Select Yes/No")),IF(Q26="Select Yes/No",Q26,""))</x:f>
        <x:v>127.94751907368592</x:v>
      </x:c>
      <x:c r="S26"/>
      <x:c r="T26" s="37" t="str">
        <x:v>—</x:v>
      </x:c>
      <x:c r="U26" s="70"/>
      <x:c r="V26" s="70" t="n">
        <x:v>1.24</x:v>
      </x:c>
      <x:c r="W26" s="79" t="n">
        <x:f>C26</x:f>
        <x:v>0.328</x:v>
      </x:c>
      <x:c r="X26" s="79" t="str">
        <x:f>IF(AND(ISNUMBER(U26),U26&gt;=0,U26&lt;100,ISNUMBER(W26),W26&gt;0),W26*(1-U26/100),"")</x:f>
      </x:c>
      <x:c r="Y26" s="79" t="str">
        <x:f>IF(AND(ISNUMBER(X26),X26&gt;0,ISNUMBER(V26),V26&gt;0,ISNUMBER(Z26),Z26&gt;0),(V26*W26/X26)^Z26,"")</x:f>
      </x:c>
      <x:c r="Z26" s="81" t="n">
        <x:v>3</x:v>
      </x:c>
    </x:row>
    <x:row r="27" ht="36" customHeight="1">
      <x:c r="A27" s="1" t="s">
        <x:v>51</x:v>
      </x:c>
      <x:c r="B27" s="8">
        <x:v>24</x:v>
      </x:c>
      <x:c r="C27" s="8">
        <x:v>0.34499999999999997</x:v>
      </x:c>
      <x:c r="D27" s="3" t="n">
        <x:f t="shared" si="0">B27/C27</x:f>
        <x:v>69.56521739130436</x:v>
      </x:c>
      <x:c r="E27" s="26" t="n">
        <x:f>IF(ISNUMBER('Pressure Cycling'!K27),'Pressure Cycling'!K27,"")</x:f>
        <x:v>8.463613588155047</x:v>
      </x:c>
      <x:c r="F27" s="3" t="n">
        <x:f t="shared" si="1">(0.1183*D27)-1.146</x:f>
        <x:v>7.083565217391306</x:v>
      </x:c>
      <x:c r="G27" s="3" t="n">
        <x:f t="shared" si="2">7.5*(1-EXP(-0.065*D27))</x:f>
        <x:v>7.418474229795915</x:v>
      </x:c>
      <x:c r="H27" s="3" t="n">
        <x:f t="shared" si="3">9.4*(1-EXP(-0.045*D27))</x:f>
        <x:v>8.98923133972447</x:v>
      </x:c>
      <x:c r="I27" s="4" t="n">
        <x:f t="shared" si="4">IF(ISNUMBER(E27),IF(E27&gt;0,(10^(10.08514-3*LOG10(13*F27)))/E27,"No cycles"),"")</x:f>
        <x:v>1840.765328736379</x:v>
      </x:c>
      <x:c r="J27" s="4" t="n">
        <x:f t="shared" si="5">IF(ISNUMBER(E27),IF(E27&gt;0,(10^(10.08514-3*LOG10(13*G27)))/E27,"No cycles"),"")</x:f>
        <x:v>1602.5453885656407</x:v>
      </x:c>
      <x:c r="K27" s="4" t="n">
        <x:f t="shared" si="6">IF(ISNUMBER(E27),IF(E27&gt;0,(10^(10.08514-3*LOG10(13*H27)))/E27,"No cycles"),"")</x:f>
        <x:v>900.7130275457298</x:v>
      </x:c>
      <x:c r="L27" s="12" t="n">
        <x:f>IF(ISNUMBER(I27),MIN(I27,J27),IF(ISNUMBER(E27),IF(E27=0,"No cycles",""),""))</x:f>
        <x:v>1602.5453885656407</x:v>
      </x:c>
      <x:c r="M27" s="4" t="n">
        <x:f t="shared" si="8">IF(ISNUMBER(L27),L27-$G$6,"")</x:f>
        <x:v>1555.1614049927455</x:v>
      </x:c>
      <x:c r="N27" s="4" t="n">
        <x:f t="shared" si="9">IF(ISNUMBER(L27),L27-$G$8,"")</x:f>
        <x:v>1554.6822811049972</x:v>
      </x:c>
      <x:c r="O27" s="64" t="str">
        <x:v>Yes</x:v>
      </x:c>
      <x:c r="P27" s="64" t="str">
        <x:v>No</x:v>
      </x:c>
      <x:c r="Q27" s="65" t="n">
        <x:f>IF(ISNUMBER(N27),IF(O27="Yes",N27/10,IF(O27="No",N27,"Select Yes/No")),"")</x:f>
        <x:v>155.46822811049972</x:v>
      </x:c>
      <x:c r="R27" s="82" t="n">
        <x:f>IF(ISNUMBER(Q27),IF(P27="No",Q27,IF(P27="Yes",IF(AND(ISNUMBER(Y27),Y27&gt;0),Q27/Y27,"Missing DWML inputs"),"Select Yes/No")),IF(Q27="Select Yes/No",Q27,""))</x:f>
        <x:v>155.46822811049972</x:v>
      </x:c>
      <x:c r="S27"/>
      <x:c r="T27" s="37" t="str">
        <x:v>—</x:v>
      </x:c>
      <x:c r="U27" s="70"/>
      <x:c r="V27" s="70" t="n">
        <x:v>1.24</x:v>
      </x:c>
      <x:c r="W27" s="79" t="n">
        <x:f>C27</x:f>
        <x:v>0.345</x:v>
      </x:c>
      <x:c r="X27" s="79" t="str">
        <x:f>IF(AND(ISNUMBER(U27),U27&gt;=0,U27&lt;100,ISNUMBER(W27),W27&gt;0),W27*(1-U27/100),"")</x:f>
      </x:c>
      <x:c r="Y27" s="79" t="str">
        <x:f>IF(AND(ISNUMBER(X27),X27&gt;0,ISNUMBER(V27),V27&gt;0,ISNUMBER(Z27),Z27&gt;0),(V27*W27/X27)^Z27,"")</x:f>
      </x:c>
      <x:c r="Z27" s="81" t="n">
        <x:v>3</x:v>
      </x:c>
    </x:row>
    <x:row r="28" ht="36" customHeight="1">
      <x:c r="A28" s="1" t="s">
        <x:v>52</x:v>
      </x:c>
      <x:c r="B28" s="8">
        <x:v>24</x:v>
      </x:c>
      <x:c r="C28" s="8">
        <x:v>0.378</x:v>
      </x:c>
      <x:c r="D28" s="3" t="n">
        <x:f t="shared" si="0">B28/C28</x:f>
        <x:v>63.492063492063494</x:v>
      </x:c>
      <x:c r="E28" s="26" t="n">
        <x:f>IF(ISNUMBER('Pressure Cycling'!K28),'Pressure Cycling'!K28,"")</x:f>
        <x:v>6.4348394081339215</x:v>
      </x:c>
      <x:c r="F28" s="3" t="n">
        <x:f t="shared" si="1">(0.1183*D28)-1.146</x:f>
        <x:v>6.365111111111111</x:v>
      </x:c>
      <x:c r="G28" s="3" t="n">
        <x:f t="shared" si="2">7.5*(1-EXP(-0.065*D28))</x:f>
        <x:v>7.379014080320531</x:v>
      </x:c>
      <x:c r="H28" s="3" t="n">
        <x:f t="shared" si="3">9.4*(1-EXP(-0.045*D28))</x:f>
        <x:v>8.860133378884397</x:v>
      </x:c>
      <x:c r="I28" s="4" t="n">
        <x:f t="shared" si="4">IF(ISNUMBER(E28),IF(E28&gt;0,(10^(10.08514-3*LOG10(13*F28)))/E28,"No cycles"),"")</x:f>
        <x:v>3336.9850622364156</x:v>
      </x:c>
      <x:c r="J28" s="4" t="n">
        <x:f t="shared" si="5">IF(ISNUMBER(E28),IF(E28&gt;0,(10^(10.08514-3*LOG10(13*G28)))/E28,"No cycles"),"")</x:f>
        <x:v>2141.7916105096124</x:v>
      </x:c>
      <x:c r="K28" s="4" t="n">
        <x:f t="shared" si="6">IF(ISNUMBER(E28),IF(E28&gt;0,(10^(10.08514-3*LOG10(13*H28)))/E28,"No cycles"),"")</x:f>
        <x:v>1237.2328742823438</x:v>
      </x:c>
      <x:c r="L28" s="12" t="n">
        <x:f>IF(ISNUMBER(I28),MIN(I28,K28),IF(ISNUMBER(E28),IF(E28=0,"No cycles",""),""))</x:f>
        <x:v>1237.2328742823438</x:v>
      </x:c>
      <x:c r="M28" s="4" t="n">
        <x:f t="shared" si="8">IF(ISNUMBER(L28),L28-$G$6,"")</x:f>
        <x:v>1189.8488907094486</x:v>
      </x:c>
      <x:c r="N28" s="4" t="n">
        <x:f t="shared" si="9">IF(ISNUMBER(L28),L28-$G$8,"")</x:f>
        <x:v>1189.3697668217003</x:v>
      </x:c>
      <x:c r="O28" s="64" t="str">
        <x:v>Yes</x:v>
      </x:c>
      <x:c r="P28" s="64" t="str">
        <x:v>No</x:v>
      </x:c>
      <x:c r="Q28" s="65" t="n">
        <x:f>IF(ISNUMBER(N28),IF(O28="Yes",N28/10,IF(O28="No",N28,"Select Yes/No")),"")</x:f>
        <x:v>118.93697668217003</x:v>
      </x:c>
      <x:c r="R28" s="82" t="n">
        <x:f>IF(ISNUMBER(Q28),IF(P28="No",Q28,IF(P28="Yes",IF(AND(ISNUMBER(Y28),Y28&gt;0),Q28/Y28,"Missing DWML inputs"),"Select Yes/No")),IF(Q28="Select Yes/No",Q28,""))</x:f>
        <x:v>118.93697668217003</x:v>
      </x:c>
      <x:c r="S28"/>
      <x:c r="T28" s="37" t="str">
        <x:v>—</x:v>
      </x:c>
      <x:c r="U28" s="70"/>
      <x:c r="V28" s="70" t="n">
        <x:v>1.24</x:v>
      </x:c>
      <x:c r="W28" s="79" t="n">
        <x:f>C28</x:f>
        <x:v>0.378</x:v>
      </x:c>
      <x:c r="X28" s="79" t="str">
        <x:f>IF(AND(ISNUMBER(U28),U28&gt;=0,U28&lt;100,ISNUMBER(W28),W28&gt;0),W28*(1-U28/100),"")</x:f>
      </x:c>
      <x:c r="Y28" s="79" t="str">
        <x:f>IF(AND(ISNUMBER(X28),X28&gt;0,ISNUMBER(V28),V28&gt;0,ISNUMBER(Z28),Z28&gt;0),(V28*W28/X28)^Z28,"")</x:f>
      </x:c>
      <x:c r="Z28" s="81" t="n">
        <x:v>3</x:v>
      </x:c>
    </x:row>
    <x:row r="29" ht="36" customHeight="1">
      <x:c r="A29" s="1" t="s">
        <x:v>53</x:v>
      </x:c>
      <x:c r="B29" s="8">
        <x:v>24</x:v>
      </x:c>
      <x:c r="C29" s="8">
        <x:v>0.39600000000000002</x:v>
      </x:c>
      <x:c r="D29" s="3" t="n">
        <x:f t="shared" si="0">B29/C29</x:f>
        <x:v>60.6060606060606</x:v>
      </x:c>
      <x:c r="E29" s="26" t="n">
        <x:f>IF(ISNUMBER('Pressure Cycling'!K29),'Pressure Cycling'!K29,"")</x:f>
        <x:v>5.596642351495889</x:v>
      </x:c>
      <x:c r="F29" s="3" t="n">
        <x:f t="shared" si="1">(0.1183*D29)-1.146</x:f>
        <x:v>6.023696969696969</x:v>
      </x:c>
      <x:c r="G29" s="3" t="n">
        <x:f t="shared" si="2">7.5*(1-EXP(-0.065*D29))</x:f>
        <x:v>7.354049961639907</x:v>
      </x:c>
      <x:c r="H29" s="3" t="n">
        <x:f t="shared" si="3">9.4*(1-EXP(-0.045*D29))</x:f>
        <x:v>8.785264409639314</x:v>
      </x:c>
      <x:c r="I29" s="4" t="n">
        <x:f t="shared" si="4">IF(ISNUMBER(E29),IF(E29&gt;0,(10^(10.08514-3*LOG10(13*F29)))/E29,"No cycles"),"")</x:f>
        <x:v>4526.818067667501</x:v>
      </x:c>
      <x:c r="J29" s="4" t="n">
        <x:f t="shared" si="5">IF(ISNUMBER(E29),IF(E29&gt;0,(10^(10.08514-3*LOG10(13*G29)))/E29,"No cycles"),"")</x:f>
        <x:v>2487.726660200327</x:v>
      </x:c>
      <x:c r="K29" s="4" t="n">
        <x:f t="shared" si="6">IF(ISNUMBER(E29),IF(E29&gt;0,(10^(10.08514-3*LOG10(13*H29)))/E29,"No cycles"),"")</x:f>
        <x:v>1459.2102700384294</x:v>
      </x:c>
      <x:c r="L29" s="12" t="n">
        <x:f>IF(ISNUMBER(I29),MIN(I29,K29),IF(ISNUMBER(E29),IF(E29=0,"No cycles",""),""))</x:f>
        <x:v>1459.2102700384294</x:v>
      </x:c>
      <x:c r="M29" s="4" t="n">
        <x:f t="shared" si="8">IF(ISNUMBER(L29),L29-$G$6,"")</x:f>
        <x:v>1411.8262864655342</x:v>
      </x:c>
      <x:c r="N29" s="4" t="n">
        <x:f t="shared" si="9">IF(ISNUMBER(L29),L29-$G$8,"")</x:f>
        <x:v>1411.3471625777859</x:v>
      </x:c>
      <x:c r="O29" s="64" t="str">
        <x:v>Yes</x:v>
      </x:c>
      <x:c r="P29" s="64" t="str">
        <x:v>No</x:v>
      </x:c>
      <x:c r="Q29" s="65" t="n">
        <x:f>IF(ISNUMBER(N29),IF(O29="Yes",N29/10,IF(O29="No",N29,"Select Yes/No")),"")</x:f>
        <x:v>141.1347162577786</x:v>
      </x:c>
      <x:c r="R29" s="82" t="n">
        <x:f>IF(ISNUMBER(Q29),IF(P29="No",Q29,IF(P29="Yes",IF(AND(ISNUMBER(Y29),Y29&gt;0),Q29/Y29,"Missing DWML inputs"),"Select Yes/No")),IF(Q29="Select Yes/No",Q29,""))</x:f>
        <x:v>141.1347162577786</x:v>
      </x:c>
      <x:c r="S29"/>
      <x:c r="T29" s="37" t="str">
        <x:v>—</x:v>
      </x:c>
      <x:c r="U29" s="70"/>
      <x:c r="V29" s="70" t="n">
        <x:v>1.24</x:v>
      </x:c>
      <x:c r="W29" s="79" t="n">
        <x:f>C29</x:f>
        <x:v>0.396</x:v>
      </x:c>
      <x:c r="X29" s="79" t="str">
        <x:f>IF(AND(ISNUMBER(U29),U29&gt;=0,U29&lt;100,ISNUMBER(W29),W29&gt;0),W29*(1-U29/100),"")</x:f>
      </x:c>
      <x:c r="Y29" s="79" t="str">
        <x:f>IF(AND(ISNUMBER(X29),X29&gt;0,ISNUMBER(V29),V29&gt;0,ISNUMBER(Z29),Z29&gt;0),(V29*W29/X29)^Z29,"")</x:f>
      </x:c>
      <x:c r="Z29" s="81" t="n">
        <x:v>3</x:v>
      </x:c>
    </x:row>
    <x:row r="30" ht="3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/>
      <x:c r="P30"/>
      <x:c r="Q30" s="1"/>
      <x:c r="R30" s="1"/>
      <x:c r="S30"/>
      <x:c r="T30" s="37" t="str">
        <x:v>Remaining thickness, tLTA</x:v>
      </x:c>
      <x:c r="U30" s="25" t="n">
        <x:f>X18</x:f>
        <x:v>0.27922828624363133</x:v>
      </x:c>
      <x:c r="V30" s="15" t="str">
        <x:v>in</x:v>
      </x:c>
      <x:c r="W30" s="37" t="str">
        <x:v>tnom × (1 − metal loss depth / 100)</x:v>
      </x:c>
      <x:c r="X30" s="37"/>
      <x:c r="Y30" s="37"/>
      <x:c r="Z30" s="37"/>
    </x:row>
    <x:row r="31" ht="3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/>
      <x:c r="P31"/>
      <x:c r="Q31" s="1"/>
      <x:c r="R31" s="1"/>
      <x:c r="S31"/>
      <x:c r="T31" s="37" t="str">
        <x:v>Surface finish factor, Ksf</x:v>
      </x:c>
      <x:c r="U31" s="25" t="n">
        <x:f>V18</x:f>
        <x:v>1.24</x:v>
      </x:c>
      <x:c r="V31" s="15" t="str">
        <x:v>—</x:v>
      </x:c>
      <x:c r="W31" s="37" t="str">
        <x:v>Original value: 1.24</x:v>
      </x:c>
      <x:c r="X31" s="37"/>
      <x:c r="Y31" s="37"/>
      <x:c r="Z31" s="37"/>
    </x:row>
    <x:row r="32" ht="36" customHeight="1">
      <x:c r="A32" s="5" t="s">
        <x:v>54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/>
      <x:c r="P32"/>
      <x:c r="Q32" s="1"/>
      <x:c r="R32" s="1"/>
      <x:c r="S32"/>
      <x:c r="T32" s="37" t="str">
        <x:v>Exponent, m</x:v>
      </x:c>
      <x:c r="U32" s="38" t="n">
        <x:f>Z18</x:f>
        <x:v>3</x:v>
      </x:c>
      <x:c r="V32" s="15" t="str">
        <x:v>—</x:v>
      </x:c>
      <x:c r="W32" s="37" t="str">
        <x:v>Original value: 3</x:v>
      </x:c>
      <x:c r="X32" s="37"/>
      <x:c r="Y32" s="37"/>
      <x:c r="Z32" s="37"/>
    </x:row>
    <x:row r="33" ht="36" customHeight="1">
      <x:c r="A33" s="1" t="str">
        <x:v>Weld involvement defaults to Yes to preserve the prior model. Metal loss defaults to No except dent 7588. Review selections for each dent.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/>
      <x:c r="P33"/>
      <x:c r="Q33" s="1"/>
      <x:c r="R33" s="1"/>
      <x:c r="S33"/>
      <x:c r="T33" s="37" t="str">
        <x:v>DWML reduction factor, RFLTA</x:v>
      </x:c>
      <x:c r="U33" s="25" t="n">
        <x:f>Y18</x:f>
        <x:v>3.411818482370289</x:v>
      </x:c>
      <x:c r="V33" s="15" t="str">
        <x:v>—</x:v>
      </x:c>
      <x:c r="W33" s="37" t="str">
        <x:v>(Ksf × tnom / tLTA)^m</x:v>
      </x:c>
      <x:c r="X33" s="37"/>
      <x:c r="Y33" s="37"/>
      <x:c r="Z33" s="37"/>
    </x:row>
    <x:row r="34" ht="21" customHeight="1">
      <x:c r="A34" s="1" t="s">
        <x:v>55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/>
      <x:c r="P34"/>
      <x:c r="Q34" s="1"/>
      <x:c r="R34" s="1"/>
      <x:c r="S34"/>
      <x:c r="T34" s="15"/>
      <x:c r="U34" s="25"/>
      <x:c r="V34" s="15"/>
      <x:c r="W34" s="15"/>
      <x:c r="X34" s="15"/>
      <x:c r="Y34" s="15"/>
      <x:c r="Z34" s="15"/>
    </x:row>
    <x:row r="35" ht="48" customHeight="1">
      <x:c r="A35" s="1" t="s">
        <x:v>56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/>
      <x:c r="P35"/>
      <x:c r="Q35" s="1"/>
      <x:c r="R35" s="1"/>
      <x:c r="S35"/>
      <x:c r="T35" s="37" t="str">
        <x:v>Total fatigue life before reductions</x:v>
      </x:c>
      <x:c r="U35" s="39" t="n">
        <x:f>IF(ISNUMBER(L18),L18,"")</x:f>
        <x:v>1516.5312970918567</x:v>
      </x:c>
      <x:c r="V35" s="15" t="str">
        <x:v>years</x:v>
      </x:c>
      <x:c r="W35" s="37" t="str">
        <x:v>Original minimum of restrained and &gt;20% SMYS lives</x:v>
      </x:c>
      <x:c r="X35" s="37"/>
      <x:c r="Y35" s="37"/>
      <x:c r="Z35" s="37"/>
    </x:row>
    <x:row r="36" ht="36" customHeight="1">
      <x:c r="A36" s="1" t="s">
        <x:v>57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/>
      <x:c r="P36"/>
      <x:c r="Q36" s="1"/>
      <x:c r="R36" s="1"/>
      <x:c r="S36"/>
      <x:c r="T36" s="37" t="str">
        <x:v>Elapsed life at writing date</x:v>
      </x:c>
      <x:c r="U36" s="39" t="n">
        <x:f>G8</x:f>
        <x:v>47.8631074606434</x:v>
      </x:c>
      <x:c r="V36" s="15" t="str">
        <x:v>years</x:v>
      </x:c>
      <x:c r="W36" s="37" t="str">
        <x:v>YEARFRAC(construction date, writing date, 1)</x:v>
      </x:c>
      <x:c r="X36" s="37"/>
      <x:c r="Y36" s="37"/>
      <x:c r="Z36" s="37"/>
    </x:row>
    <x:row r="37" ht="48" customHeight="1">
      <x:c r="A37" s="1" t="s">
        <x:v>58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/>
      <x:c r="P37"/>
      <x:c r="Q37" s="1"/>
      <x:c r="R37" s="1"/>
      <x:c r="S37"/>
      <x:c r="T37" s="43" t="str">
        <x:v>Remaining life before reductions</x:v>
      </x:c>
      <x:c r="U37" s="44" t="n">
        <x:f>IF(ISNUMBER(N18),N18,"")</x:f>
        <x:v>1468.6681896312132</x:v>
      </x:c>
      <x:c r="V37" s="42" t="str">
        <x:v>years</x:v>
      </x:c>
      <x:c r="W37" s="40" t="str">
        <x:v>Total fatigue life − elapsed life</x:v>
      </x:c>
      <x:c r="X37" s="40"/>
      <x:c r="Y37" s="40"/>
      <x:c r="Z37" s="40"/>
    </x:row>
    <x:row r="38" ht="36" customHeight="1">
      <x:c r="A38" s="1" t="s">
        <x:v>59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/>
      <x:c r="P38"/>
      <x:c r="Q38" s="1"/>
      <x:c r="R38" s="1"/>
      <x:c r="S38"/>
      <x:c r="T38" s="37" t="str">
        <x:v>Applied weld divisor</x:v>
      </x:c>
      <x:c r="U38" s="38" t="n">
        <x:f>IF(O18="Yes",10,IF(O18="No",1,"Select Yes/No"))</x:f>
        <x:v>10</x:v>
      </x:c>
      <x:c r="V38" s="15" t="str">
        <x:v>—</x:v>
      </x:c>
      <x:c r="W38" s="37" t="str">
        <x:v>Yes → 10; No → 1 (weld involvement, O18)</x:v>
      </x:c>
      <x:c r="X38" s="37"/>
      <x:c r="Y38" s="37"/>
      <x:c r="Z38" s="37"/>
    </x:row>
    <x:row r="39" ht="48" customHeight="1">
      <x:c r="A39" s="1" t="s">
        <x:v>60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/>
      <x:c r="P39"/>
      <x:c r="Q39" s="1"/>
      <x:c r="R39" s="1"/>
      <x:c r="S39"/>
      <x:c r="T39" s="43" t="str">
        <x:v>Remaining life after weld selection</x:v>
      </x:c>
      <x:c r="U39" s="44" t="n">
        <x:f>IF(ISNUMBER(Q18),Q18,"")</x:f>
        <x:v>146.86681896312132</x:v>
      </x:c>
      <x:c r="V39" s="42" t="str">
        <x:v>years</x:v>
      </x:c>
      <x:c r="W39" s="40" t="str">
        <x:v>Remaining life before reductions / applied weld divisor</x:v>
      </x:c>
      <x:c r="X39" s="40"/>
      <x:c r="Y39" s="40"/>
      <x:c r="Z39" s="40"/>
    </x:row>
    <x:row r="40" ht="36" customHeight="1">
      <x:c r="A40" s="1" t="str">
        <x:v>Remaining life subtracts YEARFRAC(construction date, applicable date, 1). Weld involvement Yes divides remaining life by 10; No applies no weld reduction.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/>
      <x:c r="P40"/>
      <x:c r="Q40" s="1"/>
      <x:c r="R40" s="1"/>
      <x:c r="S40"/>
      <x:c r="T40" s="37" t="str">
        <x:v>Applied DWML divisor</x:v>
      </x:c>
      <x:c r="U40" s="25" t="n">
        <x:f>IF(P18="No",1,IF(P18="Yes",IF(ISNUMBER(Y18),Y18,"Missing DWML inputs"),"Select Yes/No"))</x:f>
        <x:v>3.411818482370289</x:v>
      </x:c>
      <x:c r="V40" s="15" t="str">
        <x:v>—</x:v>
      </x:c>
      <x:c r="W40" s="37" t="str">
        <x:v>Yes → RFLTA; No → 1 (metal loss, P18)</x:v>
      </x:c>
      <x:c r="X40" s="37"/>
      <x:c r="Y40" s="37"/>
      <x:c r="Z40" s="37"/>
    </x:row>
    <x:row r="41" ht="48" customHeight="1">
      <x:c r="A41" s="1" t="str">
        <x:v>DWML: tLTA = tnom × (1 − metal loss / 100); RFLTA = (Ksf × tnom / tLTA)^m. Metal loss Yes divides post-weld life by RFLTA; No applies no DWML reduction.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/>
      <x:c r="P41"/>
      <x:c r="Q41" s="1"/>
      <x:c r="R41" s="1"/>
      <x:c r="S41"/>
      <x:c r="T41" s="55" t="str">
        <x:v>Life after applicable reductions</x:v>
      </x:c>
      <x:c r="U41" s="54" t="n">
        <x:f>IF(ISNUMBER(R18),R18,"")</x:f>
        <x:v>43.04649257339408</x:v>
      </x:c>
      <x:c r="V41" s="53" t="str">
        <x:v>years</x:v>
      </x:c>
      <x:c r="W41" s="51" t="str">
        <x:v>Life after weld selection / applied DWML divisor</x:v>
      </x:c>
      <x:c r="X41" s="51"/>
      <x:c r="Y41" s="51"/>
      <x:c r="Z41" s="51"/>
    </x:row>
    <x:row r="42" ht="21" customHeight="1">
      <x:c r="A42" s="1" t="str">
        <x:v>Dent 7588 remains linked to source case T. Enter metal-loss inputs at the far right when selecting Yes. Missing required inputs are flagged.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/>
      <x:c r="P42"/>
      <x:c r="Q42" s="1"/>
      <x:c r="R42" s="1"/>
      <x:c r="S42"/>
      <x:c r="T42" s="1"/>
      <x:c r="U42" s="1"/>
      <x:c r="V42" s="1"/>
      <x:c r="W42" s="1"/>
      <x:c r="X42" s="1"/>
      <x:c r="Y42" s="1"/>
      <x:c r="Z42" s="1"/>
    </x:row>
    <x:row r="43" ht="21" customHeight="1">
      <x:c r="A43" s="1" t="str">
        <x:v>DWML input defaults: Ksf = 1.24; m = 3. Nominal thickness links to each dent’s t. No metal-loss depth is assumed for other dents.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/>
      <x:c r="P43"/>
      <x:c r="Q43" s="1"/>
      <x:c r="R43" s="1"/>
      <x:c r="S43"/>
      <x:c r="T43" s="37" t="str">
        <x:v>Yes/No flags are in O18:P18. Reductions apply to remaining life at the writing date, preserving the original convention.</x:v>
      </x:c>
      <x:c r="U43" s="37"/>
      <x:c r="V43" s="37"/>
      <x:c r="W43" s="37"/>
      <x:c r="X43" s="37"/>
      <x:c r="Y43" s="37"/>
      <x:c r="Z43" s="37"/>
    </x:row>
    <x:row r="44" ht="21" customHeight="1">
      <x:c r="A44" s="1" t="str">
        <x:v>SSI = SUM[(observed cycles / observation years) × (ΔP × OD/t / (2 × 1000 × 13 ksi))^3]. Original SSI values are retained on Pressure Cycling.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/>
      <x:c r="P44"/>
      <x:c r="Q44" s="1"/>
      <x:c r="R44" s="1"/>
      <x:c r="S44"/>
      <x:c r="T44" s="37"/>
      <x:c r="U44" s="37"/>
      <x:c r="V44" s="37"/>
      <x:c r="W44" s="37"/>
      <x:c r="X44" s="37"/>
      <x:c r="Y44" s="37"/>
      <x:c r="Z44" s="37"/>
    </x:row>
    <x:row r="45" ht="21" customHeight="1">
      <x:c r="A45" s="1" t="str">
        <x:v>Missing cycling inputs leave SSI and life blank. Zero SSI displays No cycles in total-life columns; no finite remaining life is calculated.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/>
      <x:c r="P45"/>
      <x:c r="Q45" s="1"/>
      <x:c r="R45" s="1"/>
      <x:c r="S45"/>
      <x:c r="T45" s="1"/>
      <x:c r="U45" s="1"/>
      <x:c r="V45" s="1"/>
      <x:c r="W45" s="1"/>
      <x:c r="X45" s="1"/>
      <x:c r="Y45" s="1"/>
      <x:c r="Z45" s="1"/>
    </x:row>
    <x:row r="46" ht="21" customHeight="1">
      <x:c r="A46" s="5" t="s">
        <x:v>0</x:v>
      </x:c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/>
      <x:c r="P46"/>
      <x:c r="Q46" s="5"/>
      <x:c r="R46" s="5"/>
      <x:c r="S46"/>
      <x:c r="T46" s="5" t="s">
        <x:v>5</x:v>
      </x:c>
      <x:c r="U46" s="5"/>
      <x:c r="V46" s="5"/>
      <x:c r="W46" s="5"/>
      <x:c r="X46" s="5"/>
      <x:c r="Y46" s="5"/>
      <x:c r="Z46" s="5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/>
      <x:c r="P47"/>
      <x:c r="Q47" s="1"/>
      <x:c r="R47" s="1"/>
      <x:c r="S47"/>
      <x:c r="T47" s="1"/>
      <x:c r="U47" s="1"/>
      <x:c r="V47" s="1"/>
      <x:c r="W47" s="1"/>
      <x:c r="X47" s="1"/>
      <x:c r="Y47" s="1"/>
      <x:c r="Z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/>
      <x:c r="P48"/>
      <x:c r="Q48" s="1"/>
      <x:c r="R48" s="1"/>
      <x:c r="S48"/>
      <x:c r="T48" s="1"/>
      <x:c r="U48" s="1"/>
      <x:c r="V48" s="1"/>
      <x:c r="W48" s="1"/>
      <x:c r="X48" s="1"/>
      <x:c r="Y48" s="1"/>
      <x:c r="Z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/>
      <x:c r="P49"/>
      <x:c r="Q49" s="1"/>
      <x:c r="R49" s="1"/>
      <x:c r="S49"/>
      <x:c r="T49" s="1"/>
      <x:c r="U49" s="1"/>
      <x:c r="V49" s="1"/>
      <x:c r="W49" s="1"/>
      <x:c r="X49" s="1"/>
      <x:c r="Y49" s="1"/>
      <x:c r="Z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/>
      <x:c r="P50"/>
      <x:c r="Q50" s="1"/>
      <x:c r="R50" s="1"/>
      <x:c r="S50"/>
      <x:c r="T50" s="1"/>
      <x:c r="U50" s="1"/>
      <x:c r="V50" s="1"/>
      <x:c r="W50" s="1"/>
      <x:c r="X50" s="1"/>
      <x:c r="Y50" s="1"/>
      <x:c r="Z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/>
      <x:c r="P51"/>
      <x:c r="Q51" s="1"/>
      <x:c r="R51" s="1"/>
      <x:c r="S51"/>
      <x:c r="T51" s="1"/>
      <x:c r="U51" s="1"/>
      <x:c r="V51" s="1"/>
      <x:c r="W51" s="1"/>
      <x:c r="X51" s="1"/>
      <x:c r="Y51" s="1"/>
      <x:c r="Z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/>
      <x:c r="P52"/>
      <x:c r="Q52" s="1"/>
      <x:c r="R52" s="1"/>
      <x:c r="S52"/>
      <x:c r="T52" s="1"/>
      <x:c r="U52" s="1"/>
      <x:c r="V52" s="1"/>
      <x:c r="W52" s="1"/>
      <x:c r="X52" s="1"/>
      <x:c r="Y52" s="1"/>
      <x:c r="Z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/>
      <x:c r="P53"/>
      <x:c r="Q53" s="1"/>
      <x:c r="R53" s="1"/>
      <x:c r="S53"/>
      <x:c r="T53" s="1"/>
      <x:c r="U53" s="1"/>
      <x:c r="V53" s="1"/>
      <x:c r="W53" s="1"/>
      <x:c r="X53" s="1"/>
      <x:c r="Y53" s="1"/>
      <x:c r="Z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/>
      <x:c r="P54"/>
      <x:c r="Q54" s="1"/>
      <x:c r="R54" s="1"/>
      <x:c r="S54"/>
      <x:c r="T54" s="1"/>
      <x:c r="U54" s="1"/>
      <x:c r="V54" s="1"/>
      <x:c r="W54" s="1"/>
      <x:c r="X54" s="1"/>
      <x:c r="Y54" s="1"/>
      <x:c r="Z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/>
      <x:c r="P55"/>
      <x:c r="Q55" s="1"/>
      <x:c r="R55" s="1"/>
      <x:c r="S55"/>
      <x:c r="T55" s="1"/>
      <x:c r="U55" s="1"/>
      <x:c r="V55" s="1"/>
      <x:c r="W55" s="1"/>
      <x:c r="X55" s="1"/>
      <x:c r="Y55" s="1"/>
      <x:c r="Z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/>
      <x:c r="P56"/>
      <x:c r="Q56" s="1"/>
      <x:c r="R56" s="1"/>
      <x:c r="S56"/>
      <x:c r="T56" s="1"/>
      <x:c r="U56" s="1"/>
      <x:c r="V56" s="1"/>
      <x:c r="W56" s="1"/>
      <x:c r="X56" s="1"/>
      <x:c r="Y56" s="1"/>
      <x:c r="Z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/>
      <x:c r="P57"/>
      <x:c r="Q57" s="1"/>
      <x:c r="R57" s="1"/>
      <x:c r="S57"/>
      <x:c r="T57" s="1"/>
      <x:c r="U57" s="1"/>
      <x:c r="V57" s="1"/>
      <x:c r="W57" s="1"/>
      <x:c r="X57" s="1"/>
      <x:c r="Y57" s="1"/>
      <x:c r="Z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/>
      <x:c r="P58"/>
      <x:c r="Q58" s="1"/>
      <x:c r="R58" s="1"/>
      <x:c r="S58"/>
      <x:c r="T58" s="1"/>
      <x:c r="U58" s="1"/>
      <x:c r="V58" s="1"/>
      <x:c r="W58" s="1"/>
      <x:c r="X58" s="1"/>
      <x:c r="Y58" s="1"/>
      <x:c r="Z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/>
      <x:c r="P59"/>
      <x:c r="Q59" s="1"/>
      <x:c r="R59" s="1"/>
      <x:c r="S59"/>
      <x:c r="T59" s="1"/>
      <x:c r="U59" s="1"/>
      <x:c r="V59" s="1"/>
      <x:c r="W59" s="1"/>
      <x:c r="X59" s="1"/>
      <x:c r="Y59" s="1"/>
      <x:c r="Z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/>
      <x:c r="P60"/>
      <x:c r="Q60" s="1"/>
      <x:c r="R60" s="1"/>
      <x:c r="S60"/>
      <x:c r="T60" s="1"/>
      <x:c r="U60" s="1"/>
      <x:c r="V60" s="1"/>
      <x:c r="W60" s="1"/>
      <x:c r="X60" s="1"/>
      <x:c r="Y60" s="1"/>
      <x:c r="Z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/>
      <x:c r="P61"/>
      <x:c r="Q61" s="1"/>
      <x:c r="R61" s="1"/>
      <x:c r="S61"/>
      <x:c r="T61" s="1"/>
      <x:c r="U61" s="1"/>
      <x:c r="V61" s="1"/>
      <x:c r="W61" s="1"/>
      <x:c r="X61" s="1"/>
      <x:c r="Y61" s="1"/>
      <x:c r="Z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/>
      <x:c r="P62"/>
      <x:c r="Q62" s="1"/>
      <x:c r="R62" s="1"/>
      <x:c r="S62"/>
      <x:c r="T62" s="1"/>
      <x:c r="U62" s="1"/>
      <x:c r="V62" s="1"/>
      <x:c r="W62" s="1"/>
      <x:c r="X62" s="1"/>
      <x:c r="Y62" s="1"/>
      <x:c r="Z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/>
      <x:c r="P63"/>
      <x:c r="Q63" s="1"/>
      <x:c r="R63" s="1"/>
      <x:c r="S63"/>
      <x:c r="T63" s="1"/>
      <x:c r="U63" s="1"/>
      <x:c r="V63" s="1"/>
      <x:c r="W63" s="1"/>
      <x:c r="X63" s="1"/>
      <x:c r="Y63" s="1"/>
      <x:c r="Z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/>
      <x:c r="P64"/>
      <x:c r="Q64" s="1"/>
      <x:c r="R64" s="1"/>
      <x:c r="S64"/>
      <x:c r="T64" s="1"/>
      <x:c r="U64" s="1"/>
      <x:c r="V64" s="1"/>
      <x:c r="W64" s="1"/>
      <x:c r="X64" s="1"/>
      <x:c r="Y64" s="1"/>
      <x:c r="Z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/>
      <x:c r="P65"/>
      <x:c r="Q65" s="1"/>
      <x:c r="R65" s="1"/>
      <x:c r="S65"/>
      <x:c r="T65" s="1"/>
      <x:c r="U65" s="1"/>
      <x:c r="V65" s="1"/>
      <x:c r="W65" s="1"/>
      <x:c r="X65" s="1"/>
      <x:c r="Y65" s="1"/>
      <x:c r="Z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/>
      <x:c r="P66"/>
      <x:c r="Q66" s="1"/>
      <x:c r="R66" s="1"/>
      <x:c r="S66"/>
      <x:c r="T66" s="1"/>
      <x:c r="U66" s="1"/>
      <x:c r="V66" s="1"/>
      <x:c r="W66" s="1"/>
      <x:c r="X66" s="1"/>
      <x:c r="Y66" s="1"/>
      <x:c r="Z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/>
      <x:c r="P67"/>
      <x:c r="Q67" s="1"/>
      <x:c r="R67" s="1"/>
      <x:c r="S67"/>
      <x:c r="T67" s="1"/>
      <x:c r="U67" s="1"/>
      <x:c r="V67" s="1"/>
      <x:c r="W67" s="1"/>
      <x:c r="X67" s="1"/>
      <x:c r="Y67" s="1"/>
      <x:c r="Z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/>
      <x:c r="P68"/>
      <x:c r="Q68" s="1"/>
      <x:c r="R68" s="1"/>
      <x:c r="S68"/>
      <x:c r="T68" s="1"/>
      <x:c r="U68" s="1"/>
      <x:c r="V68" s="1"/>
      <x:c r="W68" s="1"/>
      <x:c r="X68" s="1"/>
      <x:c r="Y68" s="1"/>
      <x:c r="Z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/>
      <x:c r="P69"/>
      <x:c r="Q69" s="1"/>
      <x:c r="R69" s="1"/>
      <x:c r="S69"/>
      <x:c r="T69" s="1"/>
      <x:c r="U69" s="1"/>
      <x:c r="V69" s="1"/>
      <x:c r="W69" s="1"/>
      <x:c r="X69" s="1"/>
      <x:c r="Y69" s="1"/>
      <x:c r="Z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/>
      <x:c r="P70"/>
      <x:c r="Q70" s="1"/>
      <x:c r="R70" s="1"/>
      <x:c r="S70"/>
      <x:c r="T70" s="1"/>
      <x:c r="U70" s="1"/>
      <x:c r="V70" s="1"/>
      <x:c r="W70" s="1"/>
      <x:c r="X70" s="1"/>
      <x:c r="Y70" s="1"/>
      <x:c r="Z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/>
      <x:c r="P71"/>
      <x:c r="Q71" s="1"/>
      <x:c r="R71" s="1"/>
      <x:c r="S71"/>
      <x:c r="T71" s="1"/>
      <x:c r="U71" s="1"/>
      <x:c r="V71" s="1"/>
      <x:c r="W71" s="1"/>
      <x:c r="X71" s="1"/>
      <x:c r="Y71" s="1"/>
      <x:c r="Z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/>
      <x:c r="P72"/>
      <x:c r="Q72" s="1"/>
      <x:c r="R72" s="1"/>
      <x:c r="S72"/>
      <x:c r="T72" s="1"/>
      <x:c r="U72" s="1"/>
      <x:c r="V72" s="1"/>
      <x:c r="W72" s="1"/>
      <x:c r="X72" s="1"/>
      <x:c r="Y72" s="1"/>
      <x:c r="Z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/>
      <x:c r="P73"/>
      <x:c r="Q73" s="1"/>
      <x:c r="R73" s="1"/>
      <x:c r="S73"/>
      <x:c r="T73" s="1"/>
      <x:c r="U73" s="1"/>
      <x:c r="V73" s="1"/>
      <x:c r="W73" s="1"/>
      <x:c r="X73" s="1"/>
      <x:c r="Y73" s="1"/>
      <x:c r="Z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/>
      <x:c r="P74"/>
      <x:c r="Q74" s="1"/>
      <x:c r="R74" s="1"/>
      <x:c r="S74"/>
      <x:c r="T74" s="1"/>
      <x:c r="U74" s="1"/>
      <x:c r="V74" s="1"/>
      <x:c r="W74" s="1"/>
      <x:c r="X74" s="1"/>
      <x:c r="Y74" s="1"/>
      <x:c r="Z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/>
      <x:c r="P75"/>
      <x:c r="Q75" s="1"/>
      <x:c r="R75" s="1"/>
      <x:c r="S75"/>
      <x:c r="T75" s="1"/>
      <x:c r="U75" s="1"/>
      <x:c r="V75" s="1"/>
      <x:c r="W75" s="1"/>
      <x:c r="X75" s="1"/>
      <x:c r="Y75" s="1"/>
      <x:c r="Z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/>
      <x:c r="P76"/>
      <x:c r="Q76" s="1"/>
      <x:c r="R76" s="1"/>
      <x:c r="S76"/>
      <x:c r="T76" s="1"/>
      <x:c r="U76" s="1"/>
      <x:c r="V76" s="1"/>
      <x:c r="W76" s="1"/>
      <x:c r="X76" s="1"/>
      <x:c r="Y76" s="1"/>
      <x:c r="Z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/>
      <x:c r="P77"/>
      <x:c r="Q77" s="1"/>
      <x:c r="R77" s="1"/>
      <x:c r="S77"/>
      <x:c r="T77" s="1"/>
      <x:c r="U77" s="1"/>
      <x:c r="V77" s="1"/>
      <x:c r="W77" s="1"/>
      <x:c r="X77" s="1"/>
      <x:c r="Y77" s="1"/>
      <x:c r="Z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/>
      <x:c r="P78"/>
      <x:c r="Q78" s="1"/>
      <x:c r="R78" s="1"/>
      <x:c r="S78"/>
      <x:c r="T78" s="1"/>
      <x:c r="U78" s="1"/>
      <x:c r="V78" s="1"/>
      <x:c r="W78" s="1"/>
      <x:c r="X78" s="1"/>
      <x:c r="Y78" s="1"/>
      <x:c r="Z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/>
      <x:c r="P79"/>
      <x:c r="Q79" s="1"/>
      <x:c r="R79" s="1"/>
      <x:c r="S79"/>
      <x:c r="T79" s="1"/>
      <x:c r="U79" s="1"/>
      <x:c r="V79" s="1"/>
      <x:c r="W79" s="1"/>
      <x:c r="X79" s="1"/>
      <x:c r="Y79" s="1"/>
      <x:c r="Z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/>
      <x:c r="P80"/>
      <x:c r="Q80" s="1"/>
      <x:c r="R80" s="1"/>
      <x:c r="S80"/>
      <x:c r="T80" s="1"/>
      <x:c r="U80" s="1"/>
      <x:c r="V80" s="1"/>
      <x:c r="W80" s="1"/>
      <x:c r="X80" s="1"/>
      <x:c r="Y80" s="1"/>
      <x:c r="Z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/>
      <x:c r="P81"/>
      <x:c r="Q81" s="1"/>
      <x:c r="R81" s="1"/>
      <x:c r="S81"/>
      <x:c r="T81" s="1"/>
      <x:c r="U81" s="1"/>
      <x:c r="V81" s="1"/>
      <x:c r="W81" s="1"/>
      <x:c r="X81" s="1"/>
      <x:c r="Y81" s="1"/>
      <x:c r="Z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/>
      <x:c r="P82"/>
      <x:c r="Q82" s="1"/>
      <x:c r="R82" s="1"/>
      <x:c r="S82"/>
      <x:c r="T82" s="1"/>
      <x:c r="U82" s="1"/>
      <x:c r="V82" s="1"/>
      <x:c r="W82" s="1"/>
      <x:c r="X82" s="1"/>
      <x:c r="Y82" s="1"/>
      <x:c r="Z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/>
      <x:c r="P83"/>
      <x:c r="Q83" s="1"/>
      <x:c r="R83" s="1"/>
      <x:c r="S83"/>
      <x:c r="T83" s="1"/>
      <x:c r="U83" s="1"/>
      <x:c r="V83" s="1"/>
      <x:c r="W83" s="1"/>
      <x:c r="X83" s="1"/>
      <x:c r="Y83" s="1"/>
      <x:c r="Z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/>
      <x:c r="P84"/>
      <x:c r="Q84" s="1"/>
      <x:c r="R84" s="1"/>
      <x:c r="S84"/>
      <x:c r="T84" s="1"/>
      <x:c r="U84" s="1"/>
      <x:c r="V84" s="1"/>
      <x:c r="W84" s="1"/>
      <x:c r="X84" s="1"/>
      <x:c r="Y84" s="1"/>
      <x:c r="Z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/>
      <x:c r="P85"/>
      <x:c r="Q85" s="1"/>
      <x:c r="R85" s="1"/>
      <x:c r="S85"/>
      <x:c r="T85" s="1"/>
      <x:c r="U85" s="1"/>
      <x:c r="V85" s="1"/>
      <x:c r="W85" s="1"/>
      <x:c r="X85" s="1"/>
      <x:c r="Y85" s="1"/>
      <x:c r="Z85" s="1"/>
    </x:row>
  </x:sheetData>
  <x:mergeCells>
    <x:mergeCell ref="W25:Z25"/>
    <x:mergeCell ref="W41:Z41"/>
    <x:mergeCell ref="W33:Z33"/>
    <x:mergeCell ref="W36:Z36"/>
    <x:mergeCell ref="W26:Z26"/>
    <x:mergeCell ref="W27:Z27"/>
    <x:mergeCell ref="W37:Z37"/>
    <x:mergeCell ref="W35:Z35"/>
    <x:mergeCell ref="W39:Z39"/>
    <x:mergeCell ref="W31:Z31"/>
    <x:mergeCell ref="T43:Z44"/>
    <x:mergeCell ref="W30:Z30"/>
    <x:mergeCell ref="W40:Z40"/>
    <x:mergeCell ref="W29:Z29"/>
    <x:mergeCell ref="W38:Z38"/>
    <x:mergeCell ref="W28:Z28"/>
    <x:mergeCell ref="W32:Z32"/>
    <x:mergeCell ref="W24:Z24"/>
  </x:mergeCells>
  <x:conditionalFormatting sqref="R12:R29">
    <x:cfRule type="containsText" dxfId="3" priority="1" operator="containsText" text="Missing"/>
  </x:conditionalFormatting>
  <x:dataValidations count="1">
    <x:dataValidation type="list" sqref="O12:P29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82b1b78bf9654b8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9" hidden="0" customWidth="1"/>
    <x:col min="5" max="5" width="23" hidden="0" customWidth="1"/>
    <x:col min="6" max="6" width="23" hidden="0" customWidth="1"/>
    <x:col min="7" max="7" width="3" hidden="0" customWidth="1"/>
    <x:col min="8" max="8" width="30" hidden="0" customWidth="1"/>
    <x:col min="9" max="9" width="28" hidden="0" customWidth="1"/>
    <x:col min="10" max="10" width="22" hidden="0" customWidth="1"/>
    <x:col min="11" max="11" width="22" hidden="0" customWidth="1"/>
    <x:col min="12" max="12" width="22" hidden="0" customWidth="1"/>
    <x:col min="13" max="13" width="26" hidden="0" customWidth="1"/>
    <x:col min="14" max="14" width="26" hidden="0" customWidth="1"/>
  </x:cols>
  <x:sheetData>
    <x:row r="1" ht="22" customHeight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6" t="str">
        <x:v>Pressure Cycling — SSI Estimation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28" t="str">
        <x:f>IF(B8="ACTUAL","ACTUAL DATA — Check that all demonstration bins have been replaced.","SAMPLE DATA — Synthetic demonstration only. Replace amber inputs with actual rainflow-counted pressure cycles.")</x:f>
        <x:v>SAMPLE DATA — Synthetic demonstration only. Replace amber inputs with actual rainflow-counted pressure cycles.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2" customHeight="1">
      <x:c r="A4" s="15" t="str">
        <x:v>Observation period (years)</x:v>
      </x:c>
      <x:c r="B4" s="18" t="n">
        <x:v>1</x:v>
      </x:c>
      <x:c r="C4" s="15"/>
      <x:c r="D4" s="15"/>
      <x:c r="E4" s="15"/>
      <x:c r="F4" s="15"/>
      <x:c r="G4" s="15"/>
      <x:c r="H4" s="15" t="str">
        <x:v>Cycling data status</x:v>
      </x:c>
      <x:c r="I4" s="15" t="str">
        <x:f>IF(OR(NOT(ISNUMBER(B4)),B4&lt;=0),"Enter observation years",IF(OR(NOT(ISNUMBER(B5)),B5&lt;=0,NOT(ISNUMBER(B6)),B6&lt;=0),"Invalid stress / slope",IF(I5=0,"Enter pressure-cycle bins",IF(I6&gt;0,"Complete / correct bins","Ready"))))</x:f>
        <x:v>Ready</x:v>
      </x:c>
      <x:c r="J4" s="15"/>
      <x:c r="K4" s="15"/>
      <x:c r="L4" s="15"/>
    </x:row>
    <x:row r="5" ht="22" customHeight="1">
      <x:c r="A5" s="15" t="str">
        <x:v>Reference stress range (ksi)</x:v>
      </x:c>
      <x:c r="B5" s="19" t="n">
        <x:v>13</x:v>
      </x:c>
      <x:c r="C5" s="15"/>
      <x:c r="D5" s="15"/>
      <x:c r="E5" s="15"/>
      <x:c r="F5" s="15"/>
      <x:c r="G5" s="15"/>
      <x:c r="H5" s="15" t="str">
        <x:v>Populated bins</x:v>
      </x:c>
      <x:c r="I5" s="15" t="n">
        <x:f>COUNTIFS(F12:F111,"Ready")+COUNTIFS(F12:F111,"Incomplete bin")+COUNTIFS(F12:F111,"Invalid input")</x:f>
        <x:v>5</x:v>
      </x:c>
      <x:c r="J5" s="15"/>
      <x:c r="K5" s="15"/>
      <x:c r="L5" s="15"/>
    </x:row>
    <x:row r="6" ht="22" customHeight="1">
      <x:c r="A6" s="15" t="str">
        <x:v>S-N curve slope, m</x:v>
      </x:c>
      <x:c r="B6" s="19" t="n">
        <x:v>3</x:v>
      </x:c>
      <x:c r="C6" s="15"/>
      <x:c r="D6" s="15"/>
      <x:c r="E6" s="15"/>
      <x:c r="F6" s="15"/>
      <x:c r="G6" s="15"/>
      <x:c r="H6" s="15" t="str">
        <x:v>Invalid / incomplete bins</x:v>
      </x:c>
      <x:c r="I6" s="15" t="n">
        <x:f>COUNTIFS(F12:F111,"Incomplete bin")+COUNTIFS(F12:F111,"Invalid input")</x:f>
        <x:v>0</x:v>
      </x:c>
      <x:c r="J6" s="15"/>
      <x:c r="K6" s="15"/>
      <x:c r="L6" s="15"/>
    </x:row>
    <x:row r="7" ht="22" customHeight="1">
      <x:c r="A7" s="15" t="str">
        <x:v>Pressure record / location</x:v>
      </x:c>
      <x:c r="B7" s="17" t="str">
        <x:v>SYNTHETIC SAMPLE</x:v>
      </x:c>
      <x:c r="C7" s="15"/>
      <x:c r="D7" s="15"/>
      <x:c r="E7" s="15"/>
      <x:c r="F7" s="15"/>
      <x:c r="G7" s="15"/>
      <x:c r="H7" s="15" t="str">
        <x:v>Spectrum coefficient</x:v>
      </x:c>
      <x:c r="I7" s="24" t="n">
        <x:f>IF(I4="Ready",SUM(E12:E111),"")</x:f>
        <x:v>0.000025140817023213478</x:v>
      </x:c>
      <x:c r="J7" s="15"/>
      <x:c r="K7" s="15"/>
      <x:c r="L7" s="15"/>
    </x:row>
    <x:row r="8" ht="22" customHeight="1">
      <x:c r="A8" s="15" t="str">
        <x:v>Data classification</x:v>
      </x:c>
      <x:c r="B8" s="29" t="str">
        <x:v>SAMPLE</x:v>
      </x:c>
      <x:c r="C8" s="15"/>
      <x:c r="D8" s="15"/>
      <x:c r="E8" s="15"/>
      <x:c r="F8" s="15"/>
      <x:c r="G8" s="15"/>
      <x:c r="H8" s="15" t="str">
        <x:v>Annual cycles</x:v>
      </x:c>
      <x:c r="I8" s="15" t="n">
        <x:f>IF(I4="Ready",SUM(D12:D111),"")</x:f>
        <x:v>1375</x:v>
      </x:c>
      <x:c r="J8" s="15"/>
      <x:c r="K8" s="15"/>
      <x:c r="L8" s="15"/>
    </x:row>
    <x:row r="9" ht="22" customHeight="1">
      <x:c r="A9" s="15" t="str">
        <x:v>Enter rainflow-counted ranges in psi and observed cycle counts. Fractional counts, including 0.5 cycles, are allowed.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</x:row>
    <x:row r="10" ht="22" customHeight="1">
      <x:c r="A10" s="15" t="str">
        <x:v>One common pressure spectrum feeds all 18 cases. Use counts from the stated observation period, not annual counts unless the period is 1 year.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 ht="48" customHeight="1">
      <x:c r="A11" s="23" t="str">
        <x:v>Bin</x:v>
      </x:c>
      <x:c r="B11" s="23" t="str">
        <x:f>IF($B$8="ACTUAL","Pressure range ΔP (psi)","SAMPLE ΔP (psi)")</x:f>
        <x:v>SAMPLE ΔP (psi)</x:v>
      </x:c>
      <x:c r="C11" s="23" t="str">
        <x:f>IF($B$8="ACTUAL","Observed cycles n","SAMPLE observed cycles")</x:f>
        <x:v>SAMPLE observed cycles</x:v>
      </x:c>
      <x:c r="D11" s="23" t="str">
        <x:v>Annual cycles n/year</x:v>
      </x:c>
      <x:c r="E11" s="23" t="str">
        <x:v>SSI / (OD/t)^m</x:v>
      </x:c>
      <x:c r="F11" s="23" t="str">
        <x:v>Bin status</x:v>
      </x:c>
      <x:c r="G11" s="15"/>
      <x:c r="H11" s="23" t="str">
        <x:v>Source column</x:v>
      </x:c>
      <x:c r="I11" s="23" t="str">
        <x:v>OD/t</x:v>
      </x:c>
      <x:c r="J11" s="23" t="str">
        <x:v>Original SSI (reference)</x:v>
      </x:c>
      <x:c r="K11" s="23" t="str">
        <x:v>Calculated SSI</x:v>
      </x:c>
      <x:c r="L11" s="23" t="str">
        <x:v>Δ SSI vs original</x:v>
      </x:c>
    </x:row>
    <x:row r="12" ht="22" customHeight="1">
      <x:c r="A12" s="15" t="n">
        <x:v>1</x:v>
      </x:c>
      <x:c r="B12" s="18" t="n">
        <x:v>25</x:v>
      </x:c>
      <x:c r="C12" s="18" t="n">
        <x:v>1000</x:v>
      </x:c>
      <x:c r="D12" s="19" t="n">
        <x:f>IF(AND(F12="Ready",ISNUMBER($B$4),$B$4&gt;0),C12/$B$4,"")</x:f>
        <x:v>1000</x:v>
      </x:c>
      <x:c r="E12" s="24" t="n">
        <x:f>IF(AND(ISNUMBER(D12),ISNUMBER($B$5),$B$5&gt;0,ISNUMBER($B$6),$B$6&gt;0),D12*(B12/(2*1000*$B$5))^$B$6,"")</x:f>
        <x:v>8.88996358670915e-7</x:v>
      </x:c>
      <x:c r="F12" s="15" t="str">
        <x:f>IF(COUNTA(B12:C12)=0,"",IF(COUNT(B12:C12)&lt;&gt;2,"Incomplete bin",IF(OR(B12&lt;0,C12&lt;0),"Invalid input","Ready")))</x:f>
        <x:v>Ready</x:v>
      </x:c>
      <x:c r="G12" s="15"/>
      <x:c r="H12" s="15" t="str">
        <x:v>N</x:v>
      </x:c>
      <x:c r="I12" s="25" t="n">
        <x:f>'SSI Kmax'!D12</x:f>
        <x:v>74.76635514018692</x:v>
      </x:c>
      <x:c r="J12" s="25" t="n">
        <x:v>19.3475069497093</x:v>
      </x:c>
      <x:c r="K12" s="25" t="n">
        <x:f>IF(AND($I$4="Ready",ISNUMBER(I12),I12&gt;0),$I$7*I12^$B$6,"")</x:f>
        <x:v>10.507466526387484</x:v>
      </x:c>
      <x:c r="L12" s="25" t="n">
        <x:f>IF(ISNUMBER(K12),K12-J12,"")</x:f>
        <x:v>-8.840040423321815</x:v>
      </x:c>
    </x:row>
    <x:row r="13" ht="22" customHeight="1">
      <x:c r="A13" s="15" t="n">
        <x:v>2</x:v>
      </x:c>
      <x:c r="B13" s="18" t="n">
        <x:v>50</x:v>
      </x:c>
      <x:c r="C13" s="18" t="n">
        <x:v>250</x:v>
      </x:c>
      <x:c r="D13" s="19" t="n">
        <x:f>IF(AND(F13="Ready",ISNUMBER($B$4),$B$4&gt;0),C13/$B$4,"")</x:f>
        <x:v>250</x:v>
      </x:c>
      <x:c r="E13" s="24" t="n">
        <x:f>IF(AND(ISNUMBER(D13),ISNUMBER($B$5),$B$5&gt;0,ISNUMBER($B$6),$B$6&gt;0),D13*(B13/(2*1000*$B$5))^$B$6,"")</x:f>
        <x:v>0.00000177799271734183</x:v>
      </x:c>
      <x:c r="F13" s="15" t="str">
        <x:f>IF(COUNTA(B13:C13)=0,"",IF(COUNT(B13:C13)&lt;&gt;2,"Incomplete bin",IF(OR(B13&lt;0,C13&lt;0),"Invalid input","Ready")))</x:f>
        <x:v>Ready</x:v>
      </x:c>
      <x:c r="G13" s="15"/>
      <x:c r="H13" s="15" t="str">
        <x:v>O</x:v>
      </x:c>
      <x:c r="I13" s="25" t="n">
        <x:f>'SSI Kmax'!D13</x:f>
        <x:v>72.50755287009063</x:v>
      </x:c>
      <x:c r="J13" s="25" t="n">
        <x:v>17.6515516838525</x:v>
      </x:c>
      <x:c r="K13" s="25" t="n">
        <x:f>IF(AND($I$4="Ready",ISNUMBER(I13),I13&gt;0),$I$7*I13^$B$6,"")</x:f>
        <x:v>9.583609978336865</x:v>
      </x:c>
      <x:c r="L13" s="25" t="n">
        <x:f>IF(ISNUMBER(K13),K13-J13,"")</x:f>
        <x:v>-8.067941705515635</x:v>
      </x:c>
    </x:row>
    <x:row r="14" ht="22" customHeight="1">
      <x:c r="A14" s="15" t="n">
        <x:v>3</x:v>
      </x:c>
      <x:c r="B14" s="18" t="n">
        <x:v>100</x:v>
      </x:c>
      <x:c r="C14" s="18" t="n">
        <x:v>100</x:v>
      </x:c>
      <x:c r="D14" s="19" t="n">
        <x:f>IF(AND(F14="Ready",ISNUMBER($B$4),$B$4&gt;0),C14/$B$4,"")</x:f>
        <x:v>100</x:v>
      </x:c>
      <x:c r="E14" s="24" t="n">
        <x:f>IF(AND(ISNUMBER(D14),ISNUMBER($B$5),$B$5&gt;0,ISNUMBER($B$6),$B$6&gt;0),D14*(B14/(2*1000*$B$5))^$B$6,"")</x:f>
        <x:v>0.000005689576695493856</x:v>
      </x:c>
      <x:c r="F14" s="15" t="str">
        <x:f>IF(COUNTA(B14:C14)=0,"",IF(COUNT(B14:C14)&lt;&gt;2,"Incomplete bin",IF(OR(B14&lt;0,C14&lt;0),"Invalid input","Ready")))</x:f>
        <x:v>Ready</x:v>
      </x:c>
      <x:c r="G14" s="15"/>
      <x:c r="H14" s="15" t="str">
        <x:v>P</x:v>
      </x:c>
      <x:c r="I14" s="25" t="n">
        <x:f>'SSI Kmax'!D14</x:f>
        <x:v>73.61963190184049</x:v>
      </x:c>
      <x:c r="J14" s="25" t="n">
        <x:v>18.4736052659666</x:v>
      </x:c>
      <x:c r="K14" s="25" t="n">
        <x:f>IF(AND($I$4="Ready",ISNUMBER(I14),I14&gt;0),$I$7*I14^$B$6,"")</x:f>
        <x:v>10.03137145072499</x:v>
      </x:c>
      <x:c r="L14" s="25" t="n">
        <x:f>IF(ISNUMBER(K14),K14-J14,"")</x:f>
        <x:v>-8.442233815241611</x:v>
      </x:c>
    </x:row>
    <x:row r="15" ht="22" customHeight="1">
      <x:c r="A15" s="15" t="n">
        <x:v>4</x:v>
      </x:c>
      <x:c r="B15" s="18" t="n">
        <x:v>200</x:v>
      </x:c>
      <x:c r="C15" s="18" t="n">
        <x:v>20</x:v>
      </x:c>
      <x:c r="D15" s="19" t="n">
        <x:f>IF(AND(F15="Ready",ISNUMBER($B$4),$B$4&gt;0),C15/$B$4,"")</x:f>
        <x:v>20</x:v>
      </x:c>
      <x:c r="E15" s="24" t="n">
        <x:f>IF(AND(ISNUMBER(D15),ISNUMBER($B$5),$B$5&gt;0,ISNUMBER($B$6),$B$6&gt;0),D15*(B15/(2*1000*$B$5))^$B$6,"")</x:f>
        <x:v>0.00000910332271279017</x:v>
      </x:c>
      <x:c r="F15" s="15" t="str">
        <x:f>IF(COUNTA(B15:C15)=0,"",IF(COUNT(B15:C15)&lt;&gt;2,"Incomplete bin",IF(OR(B15&lt;0,C15&lt;0),"Invalid input","Ready")))</x:f>
        <x:v>Ready</x:v>
      </x:c>
      <x:c r="G15" s="15"/>
      <x:c r="H15" s="15" t="str">
        <x:v>Q</x:v>
      </x:c>
      <x:c r="I15" s="25" t="n">
        <x:f>'SSI Kmax'!D15</x:f>
        <x:v>76.92307692307692</x:v>
      </x:c>
      <x:c r="J15" s="25" t="n">
        <x:v>21.0796620271802</x:v>
      </x:c>
      <x:c r="K15" s="25" t="n">
        <x:f>IF(AND($I$4="Ready",ISNUMBER(I15),I15&gt;0),$I$7*I15^$B$6,"")</x:f>
        <x:v>11.443248531276048</x:v>
      </x:c>
      <x:c r="L15" s="25" t="n">
        <x:f>IF(ISNUMBER(K15),K15-J15,"")</x:f>
        <x:v>-9.63641349590415</x:v>
      </x:c>
    </x:row>
    <x:row r="16" ht="22" customHeight="1">
      <x:c r="A16" s="15" t="n">
        <x:v>5</x:v>
      </x:c>
      <x:c r="B16" s="18" t="n">
        <x:v>300</x:v>
      </x:c>
      <x:c r="C16" s="18" t="n">
        <x:v>5</x:v>
      </x:c>
      <x:c r="D16" s="19" t="n">
        <x:f>IF(AND(F16="Ready",ISNUMBER($B$4),$B$4&gt;0),C16/$B$4,"")</x:f>
        <x:v>5</x:v>
      </x:c>
      <x:c r="E16" s="24" t="n">
        <x:f>IF(AND(ISNUMBER(D16),ISNUMBER($B$5),$B$5&gt;0,ISNUMBER($B$6),$B$6&gt;0),D16*(B16/(2*1000*$B$5))^$B$6,"")</x:f>
        <x:v>0.000007680928538916706</x:v>
      </x:c>
      <x:c r="F16" s="15" t="str">
        <x:f>IF(COUNTA(B16:C16)=0,"",IF(COUNT(B16:C16)&lt;&gt;2,"Incomplete bin",IF(OR(B16&lt;0,C16&lt;0),"Invalid input","Ready")))</x:f>
        <x:v>Ready</x:v>
      </x:c>
      <x:c r="G16" s="15"/>
      <x:c r="H16" s="15" t="str">
        <x:v>R</x:v>
      </x:c>
      <x:c r="I16" s="25" t="n">
        <x:f>'SSI Kmax'!D16</x:f>
        <x:v>70.58823529411764</x:v>
      </x:c>
      <x:c r="J16" s="25" t="n">
        <x:v>16.2932825076495</x:v>
      </x:c>
      <x:c r="K16" s="25" t="n">
        <x:f>IF(AND($I$4="Ready",ISNUMBER(I16),I16&gt;0),$I$7*I16^$B$6,"")</x:f>
        <x:v>8.842526321211658</x:v>
      </x:c>
      <x:c r="L16" s="25" t="n">
        <x:f>IF(ISNUMBER(K16),K16-J16,"")</x:f>
        <x:v>-7.450756186437843</x:v>
      </x:c>
    </x:row>
    <x:row r="17" ht="22" customHeight="1">
      <x:c r="A17" s="15" t="n">
        <x:v>6</x:v>
      </x:c>
      <x:c r="B17" s="18"/>
      <x:c r="C17" s="18"/>
      <x:c r="D17" s="19" t="str">
        <x:f>IF(AND(F17="Ready",ISNUMBER($B$4),$B$4&gt;0),C17/$B$4,"")</x:f>
      </x:c>
      <x:c r="E17" s="24" t="str">
        <x:f>IF(AND(ISNUMBER(D17),ISNUMBER($B$5),$B$5&gt;0,ISNUMBER($B$6),$B$6&gt;0),D17*(B17/(2*1000*$B$5))^$B$6,"")</x:f>
      </x:c>
      <x:c r="F17" s="15" t="str">
        <x:f>IF(COUNTA(B17:C17)=0,"",IF(COUNT(B17:C17)&lt;&gt;2,"Incomplete bin",IF(OR(B17&lt;0,C17&lt;0),"Invalid input","Ready")))</x:f>
      </x:c>
      <x:c r="G17" s="15"/>
      <x:c r="H17" s="15" t="str">
        <x:v>S</x:v>
      </x:c>
      <x:c r="I17" s="25" t="n">
        <x:f>'SSI Kmax'!D17</x:f>
        <x:v>71.64179104477611</x:v>
      </x:c>
      <x:c r="J17" s="25" t="n">
        <x:v>17.0314976805744</x:v>
      </x:c>
      <x:c r="K17" s="25" t="n">
        <x:f>IF(AND($I$4="Ready",ISNUMBER(I17),I17&gt;0),$I$7*I17^$B$6,"")</x:f>
        <x:v>9.244399198808445</x:v>
      </x:c>
      <x:c r="L17" s="25" t="n">
        <x:f>IF(ISNUMBER(K17),K17-J17,"")</x:f>
        <x:v>-7.787098481765955</x:v>
      </x:c>
    </x:row>
    <x:row r="18" ht="22" customHeight="1">
      <x:c r="A18" s="15" t="n">
        <x:v>7</x:v>
      </x:c>
      <x:c r="B18" s="18"/>
      <x:c r="C18" s="18"/>
      <x:c r="D18" s="19" t="str">
        <x:f>IF(AND(F18="Ready",ISNUMBER($B$4),$B$4&gt;0),C18/$B$4,"")</x:f>
      </x:c>
      <x:c r="E18" s="24" t="str">
        <x:f>IF(AND(ISNUMBER(D18),ISNUMBER($B$5),$B$5&gt;0,ISNUMBER($B$6),$B$6&gt;0),D18*(B18/(2*1000*$B$5))^$B$6,"")</x:f>
      </x:c>
      <x:c r="F18" s="15" t="str">
        <x:f>IF(COUNTA(B18:C18)=0,"",IF(COUNT(B18:C18)&lt;&gt;2,"Incomplete bin",IF(OR(B18&lt;0,C18&lt;0),"Invalid input","Ready")))</x:f>
      </x:c>
      <x:c r="G18" s="15"/>
      <x:c r="H18" s="15" t="str">
        <x:v>T</x:v>
      </x:c>
      <x:c r="I18" s="25" t="n">
        <x:f>'SSI Kmax'!D18</x:f>
        <x:v>70.79646017699115</x:v>
      </x:c>
      <x:c r="J18" s="25" t="n">
        <x:v>16.4267239645151</x:v>
      </x:c>
      <x:c r="K18" s="25" t="n">
        <x:f>IF(AND($I$4="Ready",ISNUMBER(I18),I18&gt;0),$I$7*I18^$B$6,"")</x:f>
        <x:v>8.921009826678757</x:v>
      </x:c>
      <x:c r="L18" s="25" t="n">
        <x:f>IF(ISNUMBER(K18),K18-J18,"")</x:f>
        <x:v>-7.505714137836344</x:v>
      </x:c>
    </x:row>
    <x:row r="19" ht="22" customHeight="1">
      <x:c r="A19" s="15" t="n">
        <x:v>8</x:v>
      </x:c>
      <x:c r="B19" s="18"/>
      <x:c r="C19" s="18"/>
      <x:c r="D19" s="19" t="str">
        <x:f>IF(AND(F19="Ready",ISNUMBER($B$4),$B$4&gt;0),C19/$B$4,"")</x:f>
      </x:c>
      <x:c r="E19" s="24" t="str">
        <x:f>IF(AND(ISNUMBER(D19),ISNUMBER($B$5),$B$5&gt;0,ISNUMBER($B$6),$B$6&gt;0),D19*(B19/(2*1000*$B$5))^$B$6,"")</x:f>
      </x:c>
      <x:c r="F19" s="15" t="str">
        <x:f>IF(COUNTA(B19:C19)=0,"",IF(COUNT(B19:C19)&lt;&gt;2,"Incomplete bin",IF(OR(B19&lt;0,C19&lt;0),"Invalid input","Ready")))</x:f>
      </x:c>
      <x:c r="G19" s="15"/>
      <x:c r="H19" s="15" t="str">
        <x:v>U</x:v>
      </x:c>
      <x:c r="I19" s="25" t="n">
        <x:f>'SSI Kmax'!D19</x:f>
        <x:v>75.70977917981072</x:v>
      </x:c>
      <x:c r="J19" s="25" t="n">
        <x:v>20.1007782201786</x:v>
      </x:c>
      <x:c r="K19" s="25" t="n">
        <x:f>IF(AND($I$4="Ready",ISNUMBER(I19),I19&gt;0),$I$7*I19^$B$6,"")</x:f>
        <x:v>10.910265663018349</x:v>
      </x:c>
      <x:c r="L19" s="25" t="n">
        <x:f>IF(ISNUMBER(K19),K19-J19,"")</x:f>
        <x:v>-9.190512557160252</x:v>
      </x:c>
    </x:row>
    <x:row r="20" ht="22" customHeight="1">
      <x:c r="A20" s="15" t="n">
        <x:v>9</x:v>
      </x:c>
      <x:c r="B20" s="18"/>
      <x:c r="C20" s="18"/>
      <x:c r="D20" s="19" t="str">
        <x:f>IF(AND(F20="Ready",ISNUMBER($B$4),$B$4&gt;0),C20/$B$4,"")</x:f>
      </x:c>
      <x:c r="E20" s="24" t="str">
        <x:f>IF(AND(ISNUMBER(D20),ISNUMBER($B$5),$B$5&gt;0,ISNUMBER($B$6),$B$6&gt;0),D20*(B20/(2*1000*$B$5))^$B$6,"")</x:f>
      </x:c>
      <x:c r="F20" s="15" t="str">
        <x:f>IF(COUNTA(B20:C20)=0,"",IF(COUNT(B20:C20)&lt;&gt;2,"Incomplete bin",IF(OR(B20&lt;0,C20&lt;0),"Invalid input","Ready")))</x:f>
      </x:c>
      <x:c r="G20" s="15"/>
      <x:c r="H20" s="15" t="str">
        <x:v>V</x:v>
      </x:c>
      <x:c r="I20" s="25" t="n">
        <x:f>'SSI Kmax'!D20</x:f>
        <x:v>75</x:v>
      </x:c>
      <x:c r="J20" s="25" t="n">
        <x:v>19.5322475277748</x:v>
      </x:c>
      <x:c r="K20" s="25" t="n">
        <x:f>IF(AND($I$4="Ready",ISNUMBER(I20),I20&gt;0),$I$7*I20^$B$6,"")</x:f>
        <x:v>10.606282181668186</x:v>
      </x:c>
      <x:c r="L20" s="25" t="n">
        <x:f>IF(ISNUMBER(K20),K20-J20,"")</x:f>
        <x:v>-8.925965346106613</x:v>
      </x:c>
    </x:row>
    <x:row r="21" ht="22" customHeight="1">
      <x:c r="A21" s="15" t="n">
        <x:v>10</x:v>
      </x:c>
      <x:c r="B21" s="18"/>
      <x:c r="C21" s="18"/>
      <x:c r="D21" s="19" t="str">
        <x:f>IF(AND(F21="Ready",ISNUMBER($B$4),$B$4&gt;0),C21/$B$4,"")</x:f>
      </x:c>
      <x:c r="E21" s="24" t="str">
        <x:f>IF(AND(ISNUMBER(D21),ISNUMBER($B$5),$B$5&gt;0,ISNUMBER($B$6),$B$6&gt;0),D21*(B21/(2*1000*$B$5))^$B$6,"")</x:f>
      </x:c>
      <x:c r="F21" s="15" t="str">
        <x:f>IF(COUNTA(B21:C21)=0,"",IF(COUNT(B21:C21)&lt;&gt;2,"Incomplete bin",IF(OR(B21&lt;0,C21&lt;0),"Invalid input","Ready")))</x:f>
      </x:c>
      <x:c r="G21" s="15"/>
      <x:c r="H21" s="15" t="str">
        <x:v>W</x:v>
      </x:c>
      <x:c r="I21" s="25" t="n">
        <x:f>'SSI Kmax'!D21</x:f>
        <x:v>72.28915662650601</x:v>
      </x:c>
      <x:c r="J21" s="25" t="n">
        <x:v>17.4901055698227</x:v>
      </x:c>
      <x:c r="K21" s="25" t="n">
        <x:f>IF(AND($I$4="Ready",ISNUMBER(I21),I21&gt;0),$I$7*I21^$B$6,"")</x:f>
        <x:v>9.497271671118982</x:v>
      </x:c>
      <x:c r="L21" s="25" t="n">
        <x:f>IF(ISNUMBER(K21),K21-J21,"")</x:f>
        <x:v>-7.992833898703717</x:v>
      </x:c>
    </x:row>
    <x:row r="22" ht="22" customHeight="1">
      <x:c r="A22" s="15" t="n">
        <x:v>11</x:v>
      </x:c>
      <x:c r="B22" s="18"/>
      <x:c r="C22" s="18"/>
      <x:c r="D22" s="19" t="str">
        <x:f>IF(AND(F22="Ready",ISNUMBER($B$4),$B$4&gt;0),C22/$B$4,"")</x:f>
      </x:c>
      <x:c r="E22" s="24" t="str">
        <x:f>IF(AND(ISNUMBER(D22),ISNUMBER($B$5),$B$5&gt;0,ISNUMBER($B$6),$B$6&gt;0),D22*(B22/(2*1000*$B$5))^$B$6,"")</x:f>
      </x:c>
      <x:c r="F22" s="15" t="str">
        <x:f>IF(COUNTA(B22:C22)=0,"",IF(COUNT(B22:C22)&lt;&gt;2,"Incomplete bin",IF(OR(B22&lt;0,C22&lt;0),"Invalid input","Ready")))</x:f>
      </x:c>
      <x:c r="G22" s="15"/>
      <x:c r="H22" s="15" t="str">
        <x:v>X</x:v>
      </x:c>
      <x:c r="I22" s="25" t="n">
        <x:f>'SSI Kmax'!D22</x:f>
        <x:v>73.39449541284404</x:v>
      </x:c>
      <x:c r="J22" s="25" t="n">
        <x:v>18.3020731719085</x:v>
      </x:c>
      <x:c r="K22" s="25" t="n">
        <x:f>IF(AND($I$4="Ready",ISNUMBER(I22),I22&gt;0),$I$7*I22^$B$6,"")</x:f>
        <x:v>9.939621673248476</x:v>
      </x:c>
      <x:c r="L22" s="25" t="n">
        <x:f>IF(ISNUMBER(K22),K22-J22,"")</x:f>
        <x:v>-8.362451498660024</x:v>
      </x:c>
    </x:row>
    <x:row r="23" ht="22" customHeight="1">
      <x:c r="A23" s="15" t="n">
        <x:v>12</x:v>
      </x:c>
      <x:c r="B23" s="18"/>
      <x:c r="C23" s="18"/>
      <x:c r="D23" s="19" t="str">
        <x:f>IF(AND(F23="Ready",ISNUMBER($B$4),$B$4&gt;0),C23/$B$4,"")</x:f>
      </x:c>
      <x:c r="E23" s="24" t="str">
        <x:f>IF(AND(ISNUMBER(D23),ISNUMBER($B$5),$B$5&gt;0,ISNUMBER($B$6),$B$6&gt;0),D23*(B23/(2*1000*$B$5))^$B$6,"")</x:f>
      </x:c>
      <x:c r="F23" s="15" t="str">
        <x:f>IF(COUNTA(B23:C23)=0,"",IF(COUNT(B23:C23)&lt;&gt;2,"Incomplete bin",IF(OR(B23&lt;0,C23&lt;0),"Invalid input","Ready")))</x:f>
      </x:c>
      <x:c r="G23" s="15"/>
      <x:c r="H23" s="15" t="str">
        <x:v>Y</x:v>
      </x:c>
      <x:c r="I23" s="25" t="n">
        <x:f>'SSI Kmax'!D23</x:f>
        <x:v>74.53416149068323</x:v>
      </x:c>
      <x:c r="J23" s="25" t="n">
        <x:v>19.1815772663183</x:v>
      </x:c>
      <x:c r="K23" s="25" t="n">
        <x:f>IF(AND($I$4="Ready",ISNUMBER(I23),I23&gt;0),$I$7*I23^$B$6,"")</x:f>
        <x:v>10.409874584556587</x:v>
      </x:c>
      <x:c r="L23" s="25" t="n">
        <x:f>IF(ISNUMBER(K23),K23-J23,"")</x:f>
        <x:v>-8.771702681761713</x:v>
      </x:c>
    </x:row>
    <x:row r="24" ht="22" customHeight="1">
      <x:c r="A24" s="15" t="n">
        <x:v>13</x:v>
      </x:c>
      <x:c r="B24" s="18"/>
      <x:c r="C24" s="18"/>
      <x:c r="D24" s="19" t="str">
        <x:f>IF(AND(F24="Ready",ISNUMBER($B$4),$B$4&gt;0),C24/$B$4,"")</x:f>
      </x:c>
      <x:c r="E24" s="24" t="str">
        <x:f>IF(AND(ISNUMBER(D24),ISNUMBER($B$5),$B$5&gt;0,ISNUMBER($B$6),$B$6&gt;0),D24*(B24/(2*1000*$B$5))^$B$6,"")</x:f>
      </x:c>
      <x:c r="F24" s="15" t="str">
        <x:f>IF(COUNTA(B24:C24)=0,"",IF(COUNT(B24:C24)&lt;&gt;2,"Incomplete bin",IF(OR(B24&lt;0,C24&lt;0),"Invalid input","Ready")))</x:f>
      </x:c>
      <x:c r="G24" s="15"/>
      <x:c r="H24" s="15" t="str">
        <x:v>Z</x:v>
      </x:c>
      <x:c r="I24" s="25" t="n">
        <x:f>'SSI Kmax'!D24</x:f>
        <x:v>57.279236276849645</x:v>
      </x:c>
      <x:c r="J24" s="25" t="n">
        <x:v>8.7042868766137</x:v>
      </x:c>
      <x:c r="K24" s="25" t="n">
        <x:f>IF(AND($I$4="Ready",ISNUMBER(I24),I24&gt;0),$I$7*I24^$B$6,"")</x:f>
        <x:v>4.724665249777779</x:v>
      </x:c>
      <x:c r="L24" s="25" t="n">
        <x:f>IF(ISNUMBER(K24),K24-J24,"")</x:f>
        <x:v>-3.9796216268359217</x:v>
      </x:c>
    </x:row>
    <x:row r="25" ht="22" customHeight="1">
      <x:c r="A25" s="15" t="n">
        <x:v>14</x:v>
      </x:c>
      <x:c r="B25" s="18"/>
      <x:c r="C25" s="18"/>
      <x:c r="D25" s="19" t="str">
        <x:f>IF(AND(F25="Ready",ISNUMBER($B$4),$B$4&gt;0),C25/$B$4,"")</x:f>
      </x:c>
      <x:c r="E25" s="24" t="str">
        <x:f>IF(AND(ISNUMBER(D25),ISNUMBER($B$5),$B$5&gt;0,ISNUMBER($B$6),$B$6&gt;0),D25*(B25/(2*1000*$B$5))^$B$6,"")</x:f>
      </x:c>
      <x:c r="F25" s="15" t="str">
        <x:f>IF(COUNTA(B25:C25)=0,"",IF(COUNT(B25:C25)&lt;&gt;2,"Incomplete bin",IF(OR(B25&lt;0,C25&lt;0),"Invalid input","Ready")))</x:f>
      </x:c>
      <x:c r="G25" s="15"/>
      <x:c r="H25" s="15" t="str">
        <x:v>AA</x:v>
      </x:c>
      <x:c r="I25" s="25" t="n">
        <x:f>'SSI Kmax'!D25</x:f>
        <x:v>71.42857142857143</x:v>
      </x:c>
      <x:c r="J25" s="25" t="n">
        <x:v>16.8775573883801</x:v>
      </x:c>
      <x:c r="K25" s="25" t="n">
        <x:f>IF(AND($I$4="Ready",ISNUMBER(I25),I25&gt;0),$I$7*I25^$B$6,"")</x:f>
        <x:v>9.162105329159433</x:v>
      </x:c>
      <x:c r="L25" s="25" t="n">
        <x:f>IF(ISNUMBER(K25),K25-J25,"")</x:f>
        <x:v>-7.715452059220668</x:v>
      </x:c>
    </x:row>
    <x:row r="26" ht="22" customHeight="1">
      <x:c r="A26" s="15" t="n">
        <x:v>15</x:v>
      </x:c>
      <x:c r="B26" s="18"/>
      <x:c r="C26" s="18"/>
      <x:c r="D26" s="19" t="str">
        <x:f>IF(AND(F26="Ready",ISNUMBER($B$4),$B$4&gt;0),C26/$B$4,"")</x:f>
      </x:c>
      <x:c r="E26" s="24" t="str">
        <x:f>IF(AND(ISNUMBER(D26),ISNUMBER($B$5),$B$5&gt;0,ISNUMBER($B$6),$B$6&gt;0),D26*(B26/(2*1000*$B$5))^$B$6,"")</x:f>
      </x:c>
      <x:c r="F26" s="15" t="str">
        <x:f>IF(COUNTA(B26:C26)=0,"",IF(COUNT(B26:C26)&lt;&gt;2,"Incomplete bin",IF(OR(B26&lt;0,C26&lt;0),"Invalid input","Ready")))</x:f>
      </x:c>
      <x:c r="G26" s="15"/>
      <x:c r="H26" s="15" t="str">
        <x:v>AB</x:v>
      </x:c>
      <x:c r="I26" s="25" t="n">
        <x:f>'SSI Kmax'!D26</x:f>
        <x:v>73.17073170731707</x:v>
      </x:c>
      <x:c r="J26" s="25" t="n">
        <x:v>18.1479728913511</x:v>
      </x:c>
      <x:c r="K26" s="25" t="n">
        <x:f>IF(AND($I$4="Ready",ISNUMBER(I26),I26&gt;0),$I$7*I26^$B$6,"")</x:f>
        <x:v>9.848987385945705</x:v>
      </x:c>
      <x:c r="L26" s="25" t="n">
        <x:f>IF(ISNUMBER(K26),K26-J26,"")</x:f>
        <x:v>-8.298985505405394</x:v>
      </x:c>
    </x:row>
    <x:row r="27" ht="22" customHeight="1">
      <x:c r="A27" s="15" t="n">
        <x:v>16</x:v>
      </x:c>
      <x:c r="B27" s="18"/>
      <x:c r="C27" s="18"/>
      <x:c r="D27" s="19" t="str">
        <x:f>IF(AND(F27="Ready",ISNUMBER($B$4),$B$4&gt;0),C27/$B$4,"")</x:f>
      </x:c>
      <x:c r="E27" s="24" t="str">
        <x:f>IF(AND(ISNUMBER(D27),ISNUMBER($B$5),$B$5&gt;0,ISNUMBER($B$6),$B$6&gt;0),D27*(B27/(2*1000*$B$5))^$B$6,"")</x:f>
      </x:c>
      <x:c r="F27" s="15" t="str">
        <x:f>IF(COUNTA(B27:C27)=0,"",IF(COUNT(B27:C27)&lt;&gt;2,"Incomplete bin",IF(OR(B27&lt;0,C27&lt;0),"Invalid input","Ready")))</x:f>
      </x:c>
      <x:c r="G27" s="15"/>
      <x:c r="H27" s="15" t="str">
        <x:v>AC</x:v>
      </x:c>
      <x:c r="I27" s="25" t="n">
        <x:f>'SSI Kmax'!D27</x:f>
        <x:v>69.56521739130436</x:v>
      </x:c>
      <x:c r="J27" s="25" t="n">
        <x:v>15.5846069332372</x:v>
      </x:c>
      <x:c r="K27" s="25" t="n">
        <x:f>IF(AND($I$4="Ready",ISNUMBER(I27),I27&gt;0),$I$7*I27^$B$6,"")</x:f>
        <x:v>8.463613588155047</x:v>
      </x:c>
      <x:c r="L27" s="25" t="n">
        <x:f>IF(ISNUMBER(K27),K27-J27,"")</x:f>
        <x:v>-7.120993345082153</x:v>
      </x:c>
    </x:row>
    <x:row r="28" ht="22" customHeight="1">
      <x:c r="A28" s="15" t="n">
        <x:v>17</x:v>
      </x:c>
      <x:c r="B28" s="18"/>
      <x:c r="C28" s="18"/>
      <x:c r="D28" s="19" t="str">
        <x:f>IF(AND(F28="Ready",ISNUMBER($B$4),$B$4&gt;0),C28/$B$4,"")</x:f>
      </x:c>
      <x:c r="E28" s="24" t="str">
        <x:f>IF(AND(ISNUMBER(D28),ISNUMBER($B$5),$B$5&gt;0,ISNUMBER($B$6),$B$6&gt;0),D28*(B28/(2*1000*$B$5))^$B$6,"")</x:f>
      </x:c>
      <x:c r="F28" s="15" t="str">
        <x:f>IF(COUNTA(B28:C28)=0,"",IF(COUNT(B28:C28)&lt;&gt;2,"Incomplete bin",IF(OR(B28&lt;0,C28&lt;0),"Invalid input","Ready")))</x:f>
      </x:c>
      <x:c r="G28" s="15"/>
      <x:c r="H28" s="15" t="str">
        <x:v>AD</x:v>
      </x:c>
      <x:c r="I28" s="25" t="n">
        <x:f>'SSI Kmax'!D28</x:f>
        <x:v>63.492063492063494</x:v>
      </x:c>
      <x:c r="J28" s="25" t="n">
        <x:v>11.8536479874494</x:v>
      </x:c>
      <x:c r="K28" s="25" t="n">
        <x:f>IF(AND($I$4="Ready",ISNUMBER(I28),I28&gt;0),$I$7*I28^$B$6,"")</x:f>
        <x:v>6.4348394081339215</x:v>
      </x:c>
      <x:c r="L28" s="25" t="n">
        <x:f>IF(ISNUMBER(K28),K28-J28,"")</x:f>
        <x:v>-5.418808579315478</x:v>
      </x:c>
    </x:row>
    <x:row r="29" ht="22" customHeight="1">
      <x:c r="A29" s="15" t="n">
        <x:v>18</x:v>
      </x:c>
      <x:c r="B29" s="18"/>
      <x:c r="C29" s="18"/>
      <x:c r="D29" s="19" t="str">
        <x:f>IF(AND(F29="Ready",ISNUMBER($B$4),$B$4&gt;0),C29/$B$4,"")</x:f>
      </x:c>
      <x:c r="E29" s="24" t="str">
        <x:f>IF(AND(ISNUMBER(D29),ISNUMBER($B$5),$B$5&gt;0,ISNUMBER($B$6),$B$6&gt;0),D29*(B29/(2*1000*$B$5))^$B$6,"")</x:f>
      </x:c>
      <x:c r="F29" s="15" t="str">
        <x:f>IF(COUNTA(B29:C29)=0,"",IF(COUNT(B29:C29)&lt;&gt;2,"Incomplete bin",IF(OR(B29&lt;0,C29&lt;0),"Invalid input","Ready")))</x:f>
      </x:c>
      <x:c r="G29" s="15"/>
      <x:c r="H29" s="15" t="str">
        <x:v>AE</x:v>
      </x:c>
      <x:c r="I29" s="25" t="n">
        <x:f>'SSI Kmax'!D29</x:f>
        <x:v>60.6060606060606</x:v>
      </x:c>
      <x:c r="J29" s="25" t="n">
        <x:v>10.3096012407746</x:v>
      </x:c>
      <x:c r="K29" s="25" t="n">
        <x:f>IF(AND($I$4="Ready",ISNUMBER(I29),I29&gt;0),$I$7*I29^$B$6,"")</x:f>
        <x:v>5.596642351495889</x:v>
      </x:c>
      <x:c r="L29" s="25" t="n">
        <x:f>IF(ISNUMBER(K29),K29-J29,"")</x:f>
        <x:v>-4.71295888927871</x:v>
      </x:c>
    </x:row>
    <x:row r="30" ht="22" customHeight="1">
      <x:c r="A30" s="15" t="n">
        <x:v>19</x:v>
      </x:c>
      <x:c r="B30" s="18"/>
      <x:c r="C30" s="18"/>
      <x:c r="D30" s="19" t="str">
        <x:f>IF(AND(F30="Ready",ISNUMBER($B$4),$B$4&gt;0),C30/$B$4,"")</x:f>
      </x:c>
      <x:c r="E30" s="24" t="str">
        <x:f>IF(AND(ISNUMBER(D30),ISNUMBER($B$5),$B$5&gt;0,ISNUMBER($B$6),$B$6&gt;0),D30*(B30/(2*1000*$B$5))^$B$6,"")</x:f>
      </x:c>
      <x:c r="F30" s="15" t="str">
        <x:f>IF(COUNTA(B30:C30)=0,"",IF(COUNT(B30:C30)&lt;&gt;2,"Incomplete bin",IF(OR(B30&lt;0,C30&lt;0),"Invalid input","Ready")))</x:f>
      </x:c>
      <x:c r="G30" s="15"/>
      <x:c r="H30" s="15"/>
      <x:c r="I30" s="15"/>
      <x:c r="J30" s="15"/>
      <x:c r="K30" s="15"/>
      <x:c r="L30" s="15"/>
    </x:row>
    <x:row r="31" ht="22" customHeight="1">
      <x:c r="A31" s="15" t="n">
        <x:v>20</x:v>
      </x:c>
      <x:c r="B31" s="18"/>
      <x:c r="C31" s="18"/>
      <x:c r="D31" s="19" t="str">
        <x:f>IF(AND(F31="Ready",ISNUMBER($B$4),$B$4&gt;0),C31/$B$4,"")</x:f>
      </x:c>
      <x:c r="E31" s="24" t="str">
        <x:f>IF(AND(ISNUMBER(D31),ISNUMBER($B$5),$B$5&gt;0,ISNUMBER($B$6),$B$6&gt;0),D31*(B31/(2*1000*$B$5))^$B$6,"")</x:f>
      </x:c>
      <x:c r="F31" s="15" t="str">
        <x:f>IF(COUNTA(B31:C31)=0,"",IF(COUNT(B31:C31)&lt;&gt;2,"Incomplete bin",IF(OR(B31&lt;0,C31&lt;0),"Invalid input","Ready")))</x:f>
      </x:c>
      <x:c r="G31" s="15"/>
      <x:c r="H31" s="15"/>
      <x:c r="I31" s="15"/>
      <x:c r="J31" s="15"/>
      <x:c r="K31" s="15"/>
      <x:c r="L31" s="15"/>
    </x:row>
    <x:row r="32" ht="22" customHeight="1">
      <x:c r="A32" s="15" t="n">
        <x:v>21</x:v>
      </x:c>
      <x:c r="B32" s="18"/>
      <x:c r="C32" s="18"/>
      <x:c r="D32" s="19" t="str">
        <x:f>IF(AND(F32="Ready",ISNUMBER($B$4),$B$4&gt;0),C32/$B$4,"")</x:f>
      </x:c>
      <x:c r="E32" s="24" t="str">
        <x:f>IF(AND(ISNUMBER(D32),ISNUMBER($B$5),$B$5&gt;0,ISNUMBER($B$6),$B$6&gt;0),D32*(B32/(2*1000*$B$5))^$B$6,"")</x:f>
      </x:c>
      <x:c r="F32" s="15" t="str">
        <x:f>IF(COUNTA(B32:C32)=0,"",IF(COUNT(B32:C32)&lt;&gt;2,"Incomplete bin",IF(OR(B32&lt;0,C32&lt;0),"Invalid input","Ready")))</x:f>
      </x:c>
      <x:c r="G32" s="15"/>
      <x:c r="H32" s="27" t="str">
        <x:v>SSI equations</x:v>
      </x:c>
      <x:c r="I32" s="15"/>
      <x:c r="J32" s="15"/>
      <x:c r="K32" s="15"/>
      <x:c r="L32" s="15"/>
    </x:row>
    <x:row r="33" ht="22" customHeight="1">
      <x:c r="A33" s="15" t="n">
        <x:v>22</x:v>
      </x:c>
      <x:c r="B33" s="18"/>
      <x:c r="C33" s="18"/>
      <x:c r="D33" s="19" t="str">
        <x:f>IF(AND(F33="Ready",ISNUMBER($B$4),$B$4&gt;0),C33/$B$4,"")</x:f>
      </x:c>
      <x:c r="E33" s="24" t="str">
        <x:f>IF(AND(ISNUMBER(D33),ISNUMBER($B$5),$B$5&gt;0,ISNUMBER($B$6),$B$6&gt;0),D33*(B33/(2*1000*$B$5))^$B$6,"")</x:f>
      </x:c>
      <x:c r="F33" s="15" t="str">
        <x:f>IF(COUNTA(B33:C33)=0,"",IF(COUNT(B33:C33)&lt;&gt;2,"Incomplete bin",IF(OR(B33&lt;0,C33&lt;0),"Invalid input","Ready")))</x:f>
      </x:c>
      <x:c r="G33" s="15"/>
      <x:c r="H33" s="15"/>
      <x:c r="I33" s="15"/>
      <x:c r="J33" s="15"/>
      <x:c r="K33" s="15"/>
      <x:c r="L33" s="15"/>
    </x:row>
    <x:row r="34" ht="22" customHeight="1">
      <x:c r="A34" s="15" t="n">
        <x:v>23</x:v>
      </x:c>
      <x:c r="B34" s="18"/>
      <x:c r="C34" s="18"/>
      <x:c r="D34" s="19" t="str">
        <x:f>IF(AND(F34="Ready",ISNUMBER($B$4),$B$4&gt;0),C34/$B$4,"")</x:f>
      </x:c>
      <x:c r="E34" s="24" t="str">
        <x:f>IF(AND(ISNUMBER(D34),ISNUMBER($B$5),$B$5&gt;0,ISNUMBER($B$6),$B$6&gt;0),D34*(B34/(2*1000*$B$5))^$B$6,"")</x:f>
      </x:c>
      <x:c r="F34" s="15" t="str">
        <x:f>IF(COUNTA(B34:C34)=0,"",IF(COUNT(B34:C34)&lt;&gt;2,"Incomplete bin",IF(OR(B34&lt;0,C34&lt;0),"Invalid input","Ready")))</x:f>
      </x:c>
      <x:c r="G34" s="15"/>
      <x:c r="H34" s="15" t="str">
        <x:v>Δσ (ksi) = ΔP (psi) × (OD/t) / (2 × 1000).</x:v>
      </x:c>
      <x:c r="I34" s="15"/>
      <x:c r="J34" s="15"/>
      <x:c r="K34" s="15"/>
      <x:c r="L34" s="15"/>
    </x:row>
    <x:row r="35" ht="22" customHeight="1">
      <x:c r="A35" s="15" t="n">
        <x:v>24</x:v>
      </x:c>
      <x:c r="B35" s="18"/>
      <x:c r="C35" s="18"/>
      <x:c r="D35" s="19" t="str">
        <x:f>IF(AND(F35="Ready",ISNUMBER($B$4),$B$4&gt;0),C35/$B$4,"")</x:f>
      </x:c>
      <x:c r="E35" s="24" t="str">
        <x:f>IF(AND(ISNUMBER(D35),ISNUMBER($B$5),$B$5&gt;0,ISNUMBER($B$6),$B$6&gt;0),D35*(B35/(2*1000*$B$5))^$B$6,"")</x:f>
      </x:c>
      <x:c r="F35" s="15" t="str">
        <x:f>IF(COUNTA(B35:C35)=0,"",IF(COUNT(B35:C35)&lt;&gt;2,"Incomplete bin",IF(OR(B35&lt;0,C35&lt;0),"Invalid input","Ready")))</x:f>
      </x:c>
      <x:c r="G35" s="15"/>
      <x:c r="H35" s="15" t="str">
        <x:v>Annual cycles = observed cycles / observation years.</x:v>
      </x:c>
      <x:c r="I35" s="15"/>
      <x:c r="J35" s="15"/>
      <x:c r="K35" s="15"/>
      <x:c r="L35" s="15"/>
    </x:row>
    <x:row r="36" ht="22" customHeight="1">
      <x:c r="A36" s="15" t="n">
        <x:v>25</x:v>
      </x:c>
      <x:c r="B36" s="18"/>
      <x:c r="C36" s="18"/>
      <x:c r="D36" s="19" t="str">
        <x:f>IF(AND(F36="Ready",ISNUMBER($B$4),$B$4&gt;0),C36/$B$4,"")</x:f>
      </x:c>
      <x:c r="E36" s="24" t="str">
        <x:f>IF(AND(ISNUMBER(D36),ISNUMBER($B$5),$B$5&gt;0,ISNUMBER($B$6),$B$6&gt;0),D36*(B36/(2*1000*$B$5))^$B$6,"")</x:f>
      </x:c>
      <x:c r="F36" s="15" t="str">
        <x:f>IF(COUNTA(B36:C36)=0,"",IF(COUNT(B36:C36)&lt;&gt;2,"Incomplete bin",IF(OR(B36&lt;0,C36&lt;0),"Invalid input","Ready")))</x:f>
      </x:c>
      <x:c r="G36" s="15"/>
      <x:c r="H36" s="15" t="str">
        <x:v>SSI = Σ [annual cycles × (Δσ / 13 ksi)^m], with m = 3.</x:v>
      </x:c>
      <x:c r="I36" s="15"/>
      <x:c r="J36" s="15"/>
      <x:c r="K36" s="15"/>
      <x:c r="L36" s="15"/>
    </x:row>
    <x:row r="37" ht="22" customHeight="1">
      <x:c r="A37" s="15" t="n">
        <x:v>26</x:v>
      </x:c>
      <x:c r="B37" s="18"/>
      <x:c r="C37" s="18"/>
      <x:c r="D37" s="19" t="str">
        <x:f>IF(AND(F37="Ready",ISNUMBER($B$4),$B$4&gt;0),C37/$B$4,"")</x:f>
      </x:c>
      <x:c r="E37" s="24" t="str">
        <x:f>IF(AND(ISNUMBER(D37),ISNUMBER($B$5),$B$5&gt;0,ISNUMBER($B$6),$B$6&gt;0),D37*(B37/(2*1000*$B$5))^$B$6,"")</x:f>
      </x:c>
      <x:c r="F37" s="15" t="str">
        <x:f>IF(COUNTA(B37:C37)=0,"",IF(COUNT(B37:C37)&lt;&gt;2,"Incomplete bin",IF(OR(B37&lt;0,C37&lt;0),"Invalid input","Ready")))</x:f>
      </x:c>
      <x:c r="G37" s="15"/>
      <x:c r="H37" s="15" t="str">
        <x:v>Coefficient = Σ [annual cycles × (ΔP / (2 × 1000 × 13))^m].</x:v>
      </x:c>
      <x:c r="I37" s="15"/>
      <x:c r="J37" s="15"/>
      <x:c r="K37" s="15"/>
      <x:c r="L37" s="15"/>
    </x:row>
    <x:row r="38" ht="22" customHeight="1">
      <x:c r="A38" s="15" t="n">
        <x:v>27</x:v>
      </x:c>
      <x:c r="B38" s="18"/>
      <x:c r="C38" s="18"/>
      <x:c r="D38" s="19" t="str">
        <x:f>IF(AND(F38="Ready",ISNUMBER($B$4),$B$4&gt;0),C38/$B$4,"")</x:f>
      </x:c>
      <x:c r="E38" s="24" t="str">
        <x:f>IF(AND(ISNUMBER(D38),ISNUMBER($B$5),$B$5&gt;0,ISNUMBER($B$6),$B$6&gt;0),D38*(B38/(2*1000*$B$5))^$B$6,"")</x:f>
      </x:c>
      <x:c r="F38" s="15" t="str">
        <x:f>IF(COUNTA(B38:C38)=0,"",IF(COUNT(B38:C38)&lt;&gt;2,"Incomplete bin",IF(OR(B38&lt;0,C38&lt;0),"Invalid input","Ready")))</x:f>
      </x:c>
      <x:c r="G38" s="15"/>
      <x:c r="H38" s="15" t="str">
        <x:v>Case SSI = coefficient × (OD/t)^m. OD/t links to SSI Kmax.</x:v>
      </x:c>
      <x:c r="I38" s="15"/>
      <x:c r="J38" s="15"/>
      <x:c r="K38" s="15"/>
      <x:c r="L38" s="15"/>
    </x:row>
    <x:row r="39" ht="22" customHeight="1">
      <x:c r="A39" s="15" t="n">
        <x:v>28</x:v>
      </x:c>
      <x:c r="B39" s="18"/>
      <x:c r="C39" s="18"/>
      <x:c r="D39" s="19" t="str">
        <x:f>IF(AND(F39="Ready",ISNUMBER($B$4),$B$4&gt;0),C39/$B$4,"")</x:f>
      </x:c>
      <x:c r="E39" s="24" t="str">
        <x:f>IF(AND(ISNUMBER(D39),ISNUMBER($B$5),$B$5&gt;0,ISNUMBER($B$6),$B$6&gt;0),D39*(B39/(2*1000*$B$5))^$B$6,"")</x:f>
      </x:c>
      <x:c r="F39" s="15" t="str">
        <x:f>IF(COUNTA(B39:C39)=0,"",IF(COUNT(B39:C39)&lt;&gt;2,"Incomplete bin",IF(OR(B39&lt;0,C39&lt;0),"Invalid input","Ready")))</x:f>
      </x:c>
      <x:c r="G39" s="15"/>
      <x:c r="H39" s="15" t="str">
        <x:v>The power-law equivalent-cycle formula follows equal Miner damage.</x:v>
      </x:c>
      <x:c r="I39" s="15"/>
      <x:c r="J39" s="15"/>
      <x:c r="K39" s="15"/>
      <x:c r="L39" s="15"/>
    </x:row>
    <x:row r="40" ht="22" customHeight="1">
      <x:c r="A40" s="15" t="n">
        <x:v>29</x:v>
      </x:c>
      <x:c r="B40" s="18"/>
      <x:c r="C40" s="18"/>
      <x:c r="D40" s="19" t="str">
        <x:f>IF(AND(F40="Ready",ISNUMBER($B$4),$B$4&gt;0),C40/$B$4,"")</x:f>
      </x:c>
      <x:c r="E40" s="24" t="str">
        <x:f>IF(AND(ISNUMBER(D40),ISNUMBER($B$5),$B$5&gt;0,ISNUMBER($B$6),$B$6&gt;0),D40*(B40/(2*1000*$B$5))^$B$6,"")</x:f>
      </x:c>
      <x:c r="F40" s="15" t="str">
        <x:f>IF(COUNTA(B40:C40)=0,"",IF(COUNT(B40:C40)&lt;&gt;2,"Incomplete bin",IF(OR(B40&lt;0,C40&lt;0),"Invalid input","Ready")))</x:f>
      </x:c>
      <x:c r="G40" s="15"/>
      <x:c r="H40" s="15" t="str">
        <x:v>Synthetic sample: 1 year, ΔP = 25, 50, 100, 200, 300 psi.</x:v>
      </x:c>
      <x:c r="I40" s="15"/>
      <x:c r="J40" s="15"/>
      <x:c r="K40" s="15"/>
      <x:c r="L40" s="15"/>
    </x:row>
    <x:row r="41" ht="22" customHeight="1">
      <x:c r="A41" s="15" t="n">
        <x:v>30</x:v>
      </x:c>
      <x:c r="B41" s="18"/>
      <x:c r="C41" s="18"/>
      <x:c r="D41" s="19" t="str">
        <x:f>IF(AND(F41="Ready",ISNUMBER($B$4),$B$4&gt;0),C41/$B$4,"")</x:f>
      </x:c>
      <x:c r="E41" s="24" t="str">
        <x:f>IF(AND(ISNUMBER(D41),ISNUMBER($B$5),$B$5&gt;0,ISNUMBER($B$6),$B$6&gt;0),D41*(B41/(2*1000*$B$5))^$B$6,"")</x:f>
      </x:c>
      <x:c r="F41" s="15" t="str">
        <x:f>IF(COUNTA(B41:C41)=0,"",IF(COUNT(B41:C41)&lt;&gt;2,"Incomplete bin",IF(OR(B41&lt;0,C41&lt;0),"Invalid input","Ready")))</x:f>
      </x:c>
      <x:c r="G41" s="15"/>
      <x:c r="H41" s="15" t="str">
        <x:v>Observed counts: 1000, 250, 100, 20, 5. Not operating records.</x:v>
      </x:c>
      <x:c r="I41" s="15"/>
      <x:c r="J41" s="15"/>
      <x:c r="K41" s="15"/>
      <x:c r="L41" s="15"/>
    </x:row>
    <x:row r="42" ht="22" customHeight="1">
      <x:c r="A42" s="15" t="n">
        <x:v>31</x:v>
      </x:c>
      <x:c r="B42" s="18"/>
      <x:c r="C42" s="18"/>
      <x:c r="D42" s="19" t="str">
        <x:f>IF(AND(F42="Ready",ISNUMBER($B$4),$B$4&gt;0),C42/$B$4,"")</x:f>
      </x:c>
      <x:c r="E42" s="24" t="str">
        <x:f>IF(AND(ISNUMBER(D42),ISNUMBER($B$5),$B$5&gt;0,ISNUMBER($B$6),$B$6&gt;0),D42*(B42/(2*1000*$B$5))^$B$6,"")</x:f>
      </x:c>
      <x:c r="F42" s="15" t="str">
        <x:f>IF(COUNTA(B42:C42)=0,"",IF(COUNT(B42:C42)&lt;&gt;2,"Incomplete bin",IF(OR(B42&lt;0,C42&lt;0),"Invalid input","Ready")))</x:f>
      </x:c>
      <x:c r="G42" s="15"/>
      <x:c r="H42" s="15" t="str">
        <x:v>Zero SSI means no equivalent damage for entered bins; no finite life is reported.</x:v>
      </x:c>
      <x:c r="I42" s="15"/>
      <x:c r="J42" s="15"/>
      <x:c r="K42" s="15"/>
      <x:c r="L42" s="15"/>
    </x:row>
    <x:row r="43" ht="22" customHeight="1">
      <x:c r="A43" s="15" t="n">
        <x:v>32</x:v>
      </x:c>
      <x:c r="B43" s="18"/>
      <x:c r="C43" s="18"/>
      <x:c r="D43" s="19" t="str">
        <x:f>IF(AND(F43="Ready",ISNUMBER($B$4),$B$4&gt;0),C43/$B$4,"")</x:f>
      </x:c>
      <x:c r="E43" s="24" t="str">
        <x:f>IF(AND(ISNUMBER(D43),ISNUMBER($B$5),$B$5&gt;0,ISNUMBER($B$6),$B$6&gt;0),D43*(B43/(2*1000*$B$5))^$B$6,"")</x:f>
      </x:c>
      <x:c r="F43" s="15" t="str">
        <x:f>IF(COUNTA(B43:C43)=0,"",IF(COUNT(B43:C43)&lt;&gt;2,"Incomplete bin",IF(OR(B43&lt;0,C43&lt;0),"Invalid input","Ready")))</x:f>
      </x:c>
      <x:c r="G43" s="15"/>
      <x:c r="H43" s="15" t="str">
        <x:v>Input area: rows 12–111 (100 bins). All populated bins must be complete.</x:v>
      </x:c>
      <x:c r="I43" s="15"/>
      <x:c r="J43" s="15"/>
      <x:c r="K43" s="15"/>
      <x:c r="L43" s="15"/>
    </x:row>
    <x:row r="44" ht="22" customHeight="1">
      <x:c r="A44" s="15" t="n">
        <x:v>33</x:v>
      </x:c>
      <x:c r="B44" s="18"/>
      <x:c r="C44" s="18"/>
      <x:c r="D44" s="19" t="str">
        <x:f>IF(AND(F44="Ready",ISNUMBER($B$4),$B$4&gt;0),C44/$B$4,"")</x:f>
      </x:c>
      <x:c r="E44" s="24" t="str">
        <x:f>IF(AND(ISNUMBER(D44),ISNUMBER($B$5),$B$5&gt;0,ISNUMBER($B$6),$B$6&gt;0),D44*(B44/(2*1000*$B$5))^$B$6,"")</x:f>
      </x:c>
      <x:c r="F44" s="15" t="str">
        <x:f>IF(COUNTA(B44:C44)=0,"",IF(COUNT(B44:C44)&lt;&gt;2,"Incomplete bin",IF(OR(B44&lt;0,C44&lt;0),"Invalid input","Ready")))</x:f>
      </x:c>
      <x:c r="G44" s="15"/>
      <x:c r="H44" s="15" t="str">
        <x:v>Use one spectrum only for cases with the same pressure-cycle history.</x:v>
      </x:c>
      <x:c r="I44" s="15"/>
      <x:c r="J44" s="15"/>
      <x:c r="K44" s="15"/>
      <x:c r="L44" s="15"/>
    </x:row>
    <x:row r="45" ht="22" customHeight="1">
      <x:c r="A45" s="15" t="n">
        <x:v>34</x:v>
      </x:c>
      <x:c r="B45" s="18"/>
      <x:c r="C45" s="18"/>
      <x:c r="D45" s="19" t="str">
        <x:f>IF(AND(F45="Ready",ISNUMBER($B$4),$B$4&gt;0),C45/$B$4,"")</x:f>
      </x:c>
      <x:c r="E45" s="24" t="str">
        <x:f>IF(AND(ISNUMBER(D45),ISNUMBER($B$5),$B$5&gt;0,ISNUMBER($B$6),$B$6&gt;0),D45*(B45/(2*1000*$B$5))^$B$6,"")</x:f>
      </x:c>
      <x:c r="F45" s="15" t="str">
        <x:f>IF(COUNTA(B45:C45)=0,"",IF(COUNT(B45:C45)&lt;&gt;2,"Incomplete bin",IF(OR(B45&lt;0,C45&lt;0),"Invalid input","Ready")))</x:f>
      </x:c>
      <x:c r="G45" s="15"/>
      <x:c r="H45" s="15" t="str">
        <x:v>13 ksi and m = 3 are fixed method constants matching the main fatigue-life equations.</x:v>
      </x:c>
      <x:c r="I45" s="15"/>
      <x:c r="J45" s="15"/>
      <x:c r="K45" s="15"/>
      <x:c r="L45" s="15"/>
    </x:row>
    <x:row r="46" ht="22" customHeight="1">
      <x:c r="A46" s="15" t="n">
        <x:v>35</x:v>
      </x:c>
      <x:c r="B46" s="18"/>
      <x:c r="C46" s="18"/>
      <x:c r="D46" s="19" t="str">
        <x:f>IF(AND(F46="Ready",ISNUMBER($B$4),$B$4&gt;0),C46/$B$4,"")</x:f>
      </x:c>
      <x:c r="E46" s="24" t="str">
        <x:f>IF(AND(ISNUMBER(D46),ISNUMBER($B$5),$B$5&gt;0,ISNUMBER($B$6),$B$6&gt;0),D46*(B46/(2*1000*$B$5))^$B$6,"")</x:f>
      </x:c>
      <x:c r="F46" s="15" t="str">
        <x:f>IF(COUNTA(B46:C46)=0,"",IF(COUNT(B46:C46)&lt;&gt;2,"Incomplete bin",IF(OR(B46&lt;0,C46&lt;0),"Invalid input","Ready")))</x:f>
      </x:c>
      <x:c r="G46" s="15"/>
      <x:c r="H46" s="15" t="str">
        <x:v>Source: BMT, Fatigue Considerations for Natural Gas Transmission Pipelines,</x:v>
      </x:c>
      <x:c r="I46" s="15"/>
      <x:c r="J46" s="15"/>
      <x:c r="K46" s="15"/>
      <x:c r="L46" s="15"/>
    </x:row>
    <x:row r="47" ht="22" customHeight="1">
      <x:c r="A47" s="15" t="n">
        <x:v>36</x:v>
      </x:c>
      <x:c r="B47" s="18"/>
      <x:c r="C47" s="18"/>
      <x:c r="D47" s="19" t="str">
        <x:f>IF(AND(F47="Ready",ISNUMBER($B$4),$B$4&gt;0),C47/$B$4,"")</x:f>
      </x:c>
      <x:c r="E47" s="24" t="str">
        <x:f>IF(AND(ISNUMBER(D47),ISNUMBER($B$5),$B$5&gt;0,ISNUMBER($B$6),$B$6&gt;0),D47*(B47/(2*1000*$B$5))^$B$6,"")</x:f>
      </x:c>
      <x:c r="F47" s="15" t="str">
        <x:f>IF(COUNTA(B47:C47)=0,"",IF(COUNT(B47:C47)&lt;&gt;2,"Incomplete bin",IF(OR(B47&lt;0,C47&lt;0),"Invalid input","Ready")))</x:f>
      </x:c>
      <x:c r="G47" s="15"/>
      <x:c r="H47" s="15" t="str">
        <x:v>30348.FR Rev.02, 30 June 2016, Appendix C.3–C.4 (pp. C4–C6).</x:v>
      </x:c>
      <x:c r="I47" s="15"/>
      <x:c r="J47" s="15"/>
      <x:c r="K47" s="15"/>
      <x:c r="L47" s="15"/>
    </x:row>
    <x:row r="48" ht="22" customHeight="1">
      <x:c r="A48" s="15" t="n">
        <x:v>37</x:v>
      </x:c>
      <x:c r="B48" s="18"/>
      <x:c r="C48" s="18"/>
      <x:c r="D48" s="19" t="str">
        <x:f>IF(AND(F48="Ready",ISNUMBER($B$4),$B$4&gt;0),C48/$B$4,"")</x:f>
      </x:c>
      <x:c r="E48" s="24" t="str">
        <x:f>IF(AND(ISNUMBER(D48),ISNUMBER($B$5),$B$5&gt;0,ISNUMBER($B$6),$B$6&gt;0),D48*(B48/(2*1000*$B$5))^$B$6,"")</x:f>
      </x:c>
      <x:c r="F48" s="15" t="str">
        <x:f>IF(COUNTA(B48:C48)=0,"",IF(COUNT(B48:C48)&lt;&gt;2,"Incomplete bin",IF(OR(B48&lt;0,C48&lt;0),"Invalid input","Ready")))</x:f>
      </x:c>
      <x:c r="G48" s="15"/>
      <x:c r="H48" s="15" t="str">
        <x:v>https://ingaa.org/wp-content/uploads/2016/07/29846.pdf</x:v>
      </x:c>
      <x:c r="I48" s="15"/>
      <x:c r="J48" s="15"/>
      <x:c r="K48" s="15"/>
      <x:c r="L48" s="15"/>
    </x:row>
    <x:row r="49" ht="22" customHeight="1">
      <x:c r="A49" s="15" t="n">
        <x:v>38</x:v>
      </x:c>
      <x:c r="B49" s="18"/>
      <x:c r="C49" s="18"/>
      <x:c r="D49" s="19" t="str">
        <x:f>IF(AND(F49="Ready",ISNUMBER($B$4),$B$4&gt;0),C49/$B$4,"")</x:f>
      </x:c>
      <x:c r="E49" s="24" t="str">
        <x:f>IF(AND(ISNUMBER(D49),ISNUMBER($B$5),$B$5&gt;0,ISNUMBER($B$6),$B$6&gt;0),D49*(B49/(2*1000*$B$5))^$B$6,"")</x:f>
      </x:c>
      <x:c r="F49" s="15" t="str">
        <x:f>IF(COUNTA(B49:C49)=0,"",IF(COUNT(B49:C49)&lt;&gt;2,"Incomplete bin",IF(OR(B49&lt;0,C49&lt;0),"Invalid input","Ready")))</x:f>
      </x:c>
      <x:c r="G49" s="15"/>
      <x:c r="H49" s="15" t="str">
        <x:v>Reference stress and slope match the supplied API 1183 screenshot.</x:v>
      </x:c>
      <x:c r="I49" s="15"/>
      <x:c r="J49" s="15"/>
      <x:c r="K49" s="15"/>
      <x:c r="L49" s="15"/>
    </x:row>
    <x:row r="50" ht="22" customHeight="1">
      <x:c r="A50" s="15" t="n">
        <x:v>39</x:v>
      </x:c>
      <x:c r="B50" s="18"/>
      <x:c r="C50" s="18"/>
      <x:c r="D50" s="19" t="str">
        <x:f>IF(AND(F50="Ready",ISNUMBER($B$4),$B$4&gt;0),C50/$B$4,"")</x:f>
      </x:c>
      <x:c r="E50" s="24" t="str">
        <x:f>IF(AND(ISNUMBER(D50),ISNUMBER($B$5),$B$5&gt;0,ISNUMBER($B$6),$B$6&gt;0),D50*(B50/(2*1000*$B$5))^$B$6,"")</x:f>
      </x:c>
      <x:c r="F50" s="15" t="str">
        <x:f>IF(COUNTA(B50:C50)=0,"",IF(COUNT(B50:C50)&lt;&gt;2,"Incomplete bin",IF(OR(B50&lt;0,C50&lt;0),"Invalid input","Ready")))</x:f>
      </x:c>
      <x:c r="G50" s="15"/>
      <x:c r="H50" s="15" t="str">
        <x:v>This is an input-and-calculation table, not a reproduced API lookup table.</x:v>
      </x:c>
      <x:c r="I50" s="15"/>
      <x:c r="J50" s="15"/>
      <x:c r="K50" s="15"/>
      <x:c r="L50" s="15"/>
    </x:row>
    <x:row r="51" ht="22" customHeight="1">
      <x:c r="A51" s="15" t="n">
        <x:v>40</x:v>
      </x:c>
      <x:c r="B51" s="18"/>
      <x:c r="C51" s="18"/>
      <x:c r="D51" s="19" t="str">
        <x:f>IF(AND(F51="Ready",ISNUMBER($B$4),$B$4&gt;0),C51/$B$4,"")</x:f>
      </x:c>
      <x:c r="E51" s="24" t="str">
        <x:f>IF(AND(ISNUMBER(D51),ISNUMBER($B$5),$B$5&gt;0,ISNUMBER($B$6),$B$6&gt;0),D51*(B51/(2*1000*$B$5))^$B$6,"")</x:f>
      </x:c>
      <x:c r="F51" s="15" t="str">
        <x:f>IF(COUNTA(B51:C51)=0,"",IF(COUNT(B51:C51)&lt;&gt;2,"Incomplete bin",IF(OR(B51&lt;0,C51&lt;0),"Invalid input","Ready")))</x:f>
      </x:c>
      <x:c r="G51" s="15"/>
      <x:c r="H51" s="15"/>
      <x:c r="I51" s="15"/>
      <x:c r="J51" s="15"/>
      <x:c r="K51" s="15"/>
      <x:c r="L51" s="15"/>
    </x:row>
    <x:row r="52" ht="22" customHeight="1">
      <x:c r="A52" s="15" t="n">
        <x:v>41</x:v>
      </x:c>
      <x:c r="B52" s="18"/>
      <x:c r="C52" s="18"/>
      <x:c r="D52" s="19" t="str">
        <x:f>IF(AND(F52="Ready",ISNUMBER($B$4),$B$4&gt;0),C52/$B$4,"")</x:f>
      </x:c>
      <x:c r="E52" s="24" t="str">
        <x:f>IF(AND(ISNUMBER(D52),ISNUMBER($B$5),$B$5&gt;0,ISNUMBER($B$6),$B$6&gt;0),D52*(B52/(2*1000*$B$5))^$B$6,"")</x:f>
      </x:c>
      <x:c r="F52" s="15" t="str">
        <x:f>IF(COUNTA(B52:C52)=0,"",IF(COUNT(B52:C52)&lt;&gt;2,"Incomplete bin",IF(OR(B52&lt;0,C52&lt;0),"Invalid input","Ready")))</x:f>
      </x:c>
      <x:c r="G52" s="15"/>
      <x:c r="H52" s="27" t="str">
        <x:v>Replace sample inputs</x:v>
      </x:c>
      <x:c r="I52" s="15"/>
      <x:c r="J52" s="15"/>
      <x:c r="K52" s="15"/>
      <x:c r="L52" s="15"/>
    </x:row>
    <x:row r="53" ht="22" customHeight="1">
      <x:c r="A53" s="15" t="n">
        <x:v>42</x:v>
      </x:c>
      <x:c r="B53" s="18"/>
      <x:c r="C53" s="18"/>
      <x:c r="D53" s="19" t="str">
        <x:f>IF(AND(F53="Ready",ISNUMBER($B$4),$B$4&gt;0),C53/$B$4,"")</x:f>
      </x:c>
      <x:c r="E53" s="24" t="str">
        <x:f>IF(AND(ISNUMBER(D53),ISNUMBER($B$5),$B$5&gt;0,ISNUMBER($B$6),$B$6&gt;0),D53*(B53/(2*1000*$B$5))^$B$6,"")</x:f>
      </x:c>
      <x:c r="F53" s="15" t="str">
        <x:f>IF(COUNTA(B53:C53)=0,"",IF(COUNT(B53:C53)&lt;&gt;2,"Incomplete bin",IF(OR(B53&lt;0,C53&lt;0),"Invalid input","Ready")))</x:f>
      </x:c>
      <x:c r="G53" s="15"/>
      <x:c r="H53" s="15"/>
      <x:c r="I53" s="15"/>
      <x:c r="J53" s="15"/>
      <x:c r="K53" s="15"/>
      <x:c r="L53" s="15"/>
    </x:row>
    <x:row r="54" ht="22" customHeight="1">
      <x:c r="A54" s="15" t="n">
        <x:v>43</x:v>
      </x:c>
      <x:c r="B54" s="18"/>
      <x:c r="C54" s="18"/>
      <x:c r="D54" s="19" t="str">
        <x:f>IF(AND(F54="Ready",ISNUMBER($B$4),$B$4&gt;0),C54/$B$4,"")</x:f>
      </x:c>
      <x:c r="E54" s="24" t="str">
        <x:f>IF(AND(ISNUMBER(D54),ISNUMBER($B$5),$B$5&gt;0,ISNUMBER($B$6),$B$6&gt;0),D54*(B54/(2*1000*$B$5))^$B$6,"")</x:f>
      </x:c>
      <x:c r="F54" s="15" t="str">
        <x:f>IF(COUNTA(B54:C54)=0,"",IF(COUNT(B54:C54)&lt;&gt;2,"Incomplete bin",IF(OR(B54&lt;0,C54&lt;0),"Invalid input","Ready")))</x:f>
      </x:c>
      <x:c r="G54" s="15"/>
      <x:c r="H54" s="15" t="str">
        <x:v>1. Clear B12:C16, then enter actual ΔP and observed cycle counts in B12:C111.</x:v>
      </x:c>
      <x:c r="I54" s="15"/>
      <x:c r="J54" s="15"/>
      <x:c r="K54" s="15"/>
      <x:c r="L54" s="15"/>
    </x:row>
    <x:row r="55" ht="22" customHeight="1">
      <x:c r="A55" s="15" t="n">
        <x:v>44</x:v>
      </x:c>
      <x:c r="B55" s="18"/>
      <x:c r="C55" s="18"/>
      <x:c r="D55" s="19" t="str">
        <x:f>IF(AND(F55="Ready",ISNUMBER($B$4),$B$4&gt;0),C55/$B$4,"")</x:f>
      </x:c>
      <x:c r="E55" s="24" t="str">
        <x:f>IF(AND(ISNUMBER(D55),ISNUMBER($B$5),$B$5&gt;0,ISNUMBER($B$6),$B$6&gt;0),D55*(B55/(2*1000*$B$5))^$B$6,"")</x:f>
      </x:c>
      <x:c r="F55" s="15" t="str">
        <x:f>IF(COUNTA(B55:C55)=0,"",IF(COUNT(B55:C55)&lt;&gt;2,"Incomplete bin",IF(OR(B55&lt;0,C55&lt;0),"Invalid input","Ready")))</x:f>
      </x:c>
      <x:c r="G55" s="15"/>
      <x:c r="H55" s="15" t="str">
        <x:v>2. Set B4 to the observation period in years (use 1 for annual counts).</x:v>
      </x:c>
      <x:c r="I55" s="15"/>
      <x:c r="J55" s="15"/>
      <x:c r="K55" s="15"/>
      <x:c r="L55" s="15"/>
    </x:row>
    <x:row r="56" ht="22" customHeight="1">
      <x:c r="A56" s="15" t="n">
        <x:v>45</x:v>
      </x:c>
      <x:c r="B56" s="18"/>
      <x:c r="C56" s="18"/>
      <x:c r="D56" s="19" t="str">
        <x:f>IF(AND(F56="Ready",ISNUMBER($B$4),$B$4&gt;0),C56/$B$4,"")</x:f>
      </x:c>
      <x:c r="E56" s="24" t="str">
        <x:f>IF(AND(ISNUMBER(D56),ISNUMBER($B$5),$B$5&gt;0,ISNUMBER($B$6),$B$6&gt;0),D56*(B56/(2*1000*$B$5))^$B$6,"")</x:f>
      </x:c>
      <x:c r="F56" s="15" t="str">
        <x:f>IF(COUNTA(B56:C56)=0,"",IF(COUNT(B56:C56)&lt;&gt;2,"Incomplete bin",IF(OR(B56&lt;0,C56&lt;0),"Invalid input","Ready")))</x:f>
      </x:c>
      <x:c r="G56" s="15"/>
      <x:c r="H56" s="15" t="str">
        <x:v>3. Replace B7 with the pressure record / location identifier.</x:v>
      </x:c>
      <x:c r="I56" s="15"/>
      <x:c r="J56" s="15"/>
      <x:c r="K56" s="15"/>
      <x:c r="L56" s="15"/>
    </x:row>
    <x:row r="57" ht="22" customHeight="1">
      <x:c r="A57" s="15" t="n">
        <x:v>46</x:v>
      </x:c>
      <x:c r="B57" s="18"/>
      <x:c r="C57" s="18"/>
      <x:c r="D57" s="19" t="str">
        <x:f>IF(AND(F57="Ready",ISNUMBER($B$4),$B$4&gt;0),C57/$B$4,"")</x:f>
      </x:c>
      <x:c r="E57" s="24" t="str">
        <x:f>IF(AND(ISNUMBER(D57),ISNUMBER($B$5),$B$5&gt;0,ISNUMBER($B$6),$B$6&gt;0),D57*(B57/(2*1000*$B$5))^$B$6,"")</x:f>
      </x:c>
      <x:c r="F57" s="15" t="str">
        <x:f>IF(COUNTA(B57:C57)=0,"",IF(COUNT(B57:C57)&lt;&gt;2,"Incomplete bin",IF(OR(B57&lt;0,C57&lt;0),"Invalid input","Ready")))</x:f>
      </x:c>
      <x:c r="G57" s="15"/>
      <x:c r="H57" s="15" t="str">
        <x:v>4. Change B8 from SAMPLE to ACTUAL after replacing every sample bin.</x:v>
      </x:c>
      <x:c r="I57" s="15"/>
      <x:c r="J57" s="15"/>
      <x:c r="K57" s="15"/>
      <x:c r="L57" s="15"/>
    </x:row>
    <x:row r="58" ht="22" customHeight="1">
      <x:c r="A58" s="15" t="n">
        <x:v>47</x:v>
      </x:c>
      <x:c r="B58" s="18"/>
      <x:c r="C58" s="18"/>
      <x:c r="D58" s="19" t="str">
        <x:f>IF(AND(F58="Ready",ISNUMBER($B$4),$B$4&gt;0),C58/$B$4,"")</x:f>
      </x:c>
      <x:c r="E58" s="24" t="str">
        <x:f>IF(AND(ISNUMBER(D58),ISNUMBER($B$5),$B$5&gt;0,ISNUMBER($B$6),$B$6&gt;0),D58*(B58/(2*1000*$B$5))^$B$6,"")</x:f>
      </x:c>
      <x:c r="F58" s="15" t="str">
        <x:f>IF(COUNTA(B58:C58)=0,"",IF(COUNT(B58:C58)&lt;&gt;2,"Incomplete bin",IF(OR(B58&lt;0,C58&lt;0),"Invalid input","Ready")))</x:f>
      </x:c>
      <x:c r="G58" s="15"/>
      <x:c r="H58" s="15" t="str">
        <x:v>SSI and fatigue life recalculate automatically for each linked OD/t.</x:v>
      </x:c>
      <x:c r="I58" s="15"/>
      <x:c r="J58" s="15"/>
      <x:c r="K58" s="15"/>
      <x:c r="L58" s="15"/>
    </x:row>
    <x:row r="59" ht="22" customHeight="1">
      <x:c r="A59" s="15" t="n">
        <x:v>48</x:v>
      </x:c>
      <x:c r="B59" s="18"/>
      <x:c r="C59" s="18"/>
      <x:c r="D59" s="19" t="str">
        <x:f>IF(AND(F59="Ready",ISNUMBER($B$4),$B$4&gt;0),C59/$B$4,"")</x:f>
      </x:c>
      <x:c r="E59" s="24" t="str">
        <x:f>IF(AND(ISNUMBER(D59),ISNUMBER($B$5),$B$5&gt;0,ISNUMBER($B$6),$B$6&gt;0),D59*(B59/(2*1000*$B$5))^$B$6,"")</x:f>
      </x:c>
      <x:c r="F59" s="15" t="str">
        <x:f>IF(COUNTA(B59:C59)=0,"",IF(COUNT(B59:C59)&lt;&gt;2,"Incomplete bin",IF(OR(B59&lt;0,C59&lt;0),"Invalid input","Ready")))</x:f>
      </x:c>
      <x:c r="G59" s="15"/>
      <x:c r="H59" s="15" t="str">
        <x:v>Only use a common spectrum for cases exposed to the same pressure-cycle history.</x:v>
      </x:c>
      <x:c r="I59" s="15"/>
      <x:c r="J59" s="15"/>
      <x:c r="K59" s="15"/>
      <x:c r="L59" s="15"/>
    </x:row>
    <x:row r="60" ht="22" customHeight="1">
      <x:c r="A60" s="15" t="n">
        <x:v>49</x:v>
      </x:c>
      <x:c r="B60" s="18"/>
      <x:c r="C60" s="18"/>
      <x:c r="D60" s="19" t="str">
        <x:f>IF(AND(F60="Ready",ISNUMBER($B$4),$B$4&gt;0),C60/$B$4,"")</x:f>
      </x:c>
      <x:c r="E60" s="24" t="str">
        <x:f>IF(AND(ISNUMBER(D60),ISNUMBER($B$5),$B$5&gt;0,ISNUMBER($B$6),$B$6&gt;0),D60*(B60/(2*1000*$B$5))^$B$6,"")</x:f>
      </x:c>
      <x:c r="F60" s="15" t="str">
        <x:f>IF(COUNTA(B60:C60)=0,"",IF(COUNT(B60:C60)&lt;&gt;2,"Incomplete bin",IF(OR(B60&lt;0,C60&lt;0),"Invalid input","Ready")))</x:f>
      </x:c>
      <x:c r="G60" s="15"/>
      <x:c r="H60" s="15"/>
      <x:c r="I60" s="15"/>
      <x:c r="J60" s="15"/>
      <x:c r="K60" s="15"/>
      <x:c r="L60" s="15"/>
    </x:row>
    <x:row r="61" ht="22" customHeight="1">
      <x:c r="A61" s="15" t="n">
        <x:v>50</x:v>
      </x:c>
      <x:c r="B61" s="18"/>
      <x:c r="C61" s="18"/>
      <x:c r="D61" s="19" t="str">
        <x:f>IF(AND(F61="Ready",ISNUMBER($B$4),$B$4&gt;0),C61/$B$4,"")</x:f>
      </x:c>
      <x:c r="E61" s="24" t="str">
        <x:f>IF(AND(ISNUMBER(D61),ISNUMBER($B$5),$B$5&gt;0,ISNUMBER($B$6),$B$6&gt;0),D61*(B61/(2*1000*$B$5))^$B$6,"")</x:f>
      </x:c>
      <x:c r="F61" s="15" t="str">
        <x:f>IF(COUNTA(B61:C61)=0,"",IF(COUNT(B61:C61)&lt;&gt;2,"Incomplete bin",IF(OR(B61&lt;0,C61&lt;0),"Invalid input","Ready")))</x:f>
      </x:c>
      <x:c r="G61" s="15"/>
      <x:c r="H61" s="15"/>
      <x:c r="I61" s="15"/>
      <x:c r="J61" s="15"/>
      <x:c r="K61" s="15"/>
      <x:c r="L61" s="15"/>
    </x:row>
    <x:row r="62" ht="24" customHeight="1">
      <x:c r="A62" s="15" t="n">
        <x:v>51</x:v>
      </x:c>
      <x:c r="B62" s="18"/>
      <x:c r="C62" s="18"/>
      <x:c r="D62" s="19" t="str">
        <x:f>IF(AND(F62="Ready",ISNUMBER($B$4),$B$4&gt;0),C62/$B$4,"")</x:f>
      </x:c>
      <x:c r="E62" s="24" t="str">
        <x:f>IF(AND(ISNUMBER(D62),ISNUMBER($B$5),$B$5&gt;0,ISNUMBER($B$6),$B$6&gt;0),D62*(B62/(2*1000*$B$5))^$B$6,"")</x:f>
      </x:c>
      <x:c r="F62" s="15" t="str">
        <x:f>IF(COUNTA(B62:C62)=0,"",IF(COUNT(B62:C62)&lt;&gt;2,"Incomplete bin",IF(OR(B62&lt;0,C62&lt;0),"Invalid input","Ready")))</x:f>
      </x:c>
      <x:c r="G62" s="15"/>
      <x:c r="H62" s="27" t="str">
        <x:v>Reference stress range and SSI</x:v>
      </x:c>
      <x:c r="I62" s="15"/>
      <x:c r="J62" s="15"/>
      <x:c r="K62" s="15"/>
      <x:c r="L62" s="15"/>
      <x:c r="M62" s="15"/>
      <x:c r="N62" s="15"/>
    </x:row>
    <x:row r="63" ht="24" customHeight="1">
      <x:c r="A63" s="15" t="n">
        <x:v>52</x:v>
      </x:c>
      <x:c r="B63" s="18"/>
      <x:c r="C63" s="18"/>
      <x:c r="D63" s="19" t="str">
        <x:f>IF(AND(F63="Ready",ISNUMBER($B$4),$B$4&gt;0),C63/$B$4,"")</x:f>
      </x:c>
      <x:c r="E63" s="24" t="str">
        <x:f>IF(AND(ISNUMBER(D63),ISNUMBER($B$5),$B$5&gt;0,ISNUMBER($B$6),$B$6&gt;0),D63*(B63/(2*1000*$B$5))^$B$6,"")</x:f>
      </x:c>
      <x:c r="F63" s="15" t="str">
        <x:f>IF(COUNTA(B63:C63)=0,"",IF(COUNT(B63:C63)&lt;&gt;2,"Incomplete bin",IF(OR(B63&lt;0,C63&lt;0),"Invalid input","Ready")))</x:f>
      </x:c>
      <x:c r="G63" s="15"/>
      <x:c r="H63" s="15"/>
      <x:c r="I63" s="15"/>
      <x:c r="J63" s="15"/>
      <x:c r="K63" s="15"/>
      <x:c r="L63" s="15"/>
      <x:c r="M63" s="15"/>
      <x:c r="N63" s="15"/>
    </x:row>
    <x:row r="64" ht="24" customHeight="1">
      <x:c r="A64" s="15" t="n">
        <x:v>53</x:v>
      </x:c>
      <x:c r="B64" s="18"/>
      <x:c r="C64" s="18"/>
      <x:c r="D64" s="19" t="str">
        <x:f>IF(AND(F64="Ready",ISNUMBER($B$4),$B$4&gt;0),C64/$B$4,"")</x:f>
      </x:c>
      <x:c r="E64" s="24" t="str">
        <x:f>IF(AND(ISNUMBER(D64),ISNUMBER($B$5),$B$5&gt;0,ISNUMBER($B$6),$B$6&gt;0),D64*(B64/(2*1000*$B$5))^$B$6,"")</x:f>
      </x:c>
      <x:c r="F64" s="15" t="str">
        <x:f>IF(COUNTA(B64:C64)=0,"",IF(COUNT(B64:C64)&lt;&gt;2,"Incomplete bin",IF(OR(B64&lt;0,C64&lt;0),"Invalid input","Ready")))</x:f>
      </x:c>
      <x:c r="G64" s="15"/>
      <x:c r="H64" s="15" t="str">
        <x:v>The reference stress range is a standard hoop-stress fluctuation used to express cycling severity as SSI.</x:v>
      </x:c>
      <x:c r="I64" s="15"/>
      <x:c r="J64" s="15"/>
      <x:c r="K64" s="15"/>
      <x:c r="L64" s="15"/>
      <x:c r="M64" s="15"/>
      <x:c r="N64" s="15"/>
    </x:row>
    <x:row r="65" ht="24" customHeight="1">
      <x:c r="A65" s="15" t="n">
        <x:v>54</x:v>
      </x:c>
      <x:c r="B65" s="18"/>
      <x:c r="C65" s="18"/>
      <x:c r="D65" s="19" t="str">
        <x:f>IF(AND(F65="Ready",ISNUMBER($B$4),$B$4&gt;0),C65/$B$4,"")</x:f>
      </x:c>
      <x:c r="E65" s="24" t="str">
        <x:f>IF(AND(ISNUMBER(D65),ISNUMBER($B$5),$B$5&gt;0,ISNUMBER($B$6),$B$6&gt;0),D65*(B65/(2*1000*$B$5))^$B$6,"")</x:f>
      </x:c>
      <x:c r="F65" s="15" t="str">
        <x:f>IF(COUNTA(B65:C65)=0,"",IF(COUNT(B65:C65)&lt;&gt;2,"Incomplete bin",IF(OR(B65&lt;0,C65&lt;0),"Invalid input","Ready")))</x:f>
      </x:c>
      <x:c r="G65" s="15"/>
      <x:c r="H65" s="15" t="str">
        <x:v>This workbook uses 13 ksi (approximately 90 MPa), with S-N slope m = 3.</x:v>
      </x:c>
      <x:c r="I65" s="15"/>
      <x:c r="J65" s="15"/>
      <x:c r="K65" s="15"/>
      <x:c r="L65" s="15"/>
      <x:c r="M65" s="15"/>
      <x:c r="N65" s="15"/>
    </x:row>
    <x:row r="66" ht="24" customHeight="1">
      <x:c r="A66" s="15" t="n">
        <x:v>55</x:v>
      </x:c>
      <x:c r="B66" s="18"/>
      <x:c r="C66" s="18"/>
      <x:c r="D66" s="19" t="str">
        <x:f>IF(AND(F66="Ready",ISNUMBER($B$4),$B$4&gt;0),C66/$B$4,"")</x:f>
      </x:c>
      <x:c r="E66" s="24" t="str">
        <x:f>IF(AND(ISNUMBER(D66),ISNUMBER($B$5),$B$5&gt;0,ISNUMBER($B$6),$B$6&gt;0),D66*(B66/(2*1000*$B$5))^$B$6,"")</x:f>
      </x:c>
      <x:c r="F66" s="15" t="str">
        <x:f>IF(COUNTA(B66:C66)=0,"",IF(COUNT(B66:C66)&lt;&gt;2,"Incomplete bin",IF(OR(B66&lt;0,C66&lt;0),"Invalid input","Ready")))</x:f>
      </x:c>
      <x:c r="G66" s="15"/>
      <x:c r="H66" s="15" t="str">
        <x:v>SSI is the equivalent number of 13 ksi stress cycles per year producing the same fatigue damage as the entered cycles.</x:v>
      </x:c>
      <x:c r="I66" s="15"/>
      <x:c r="J66" s="15"/>
      <x:c r="K66" s="15"/>
      <x:c r="L66" s="15"/>
      <x:c r="M66" s="15"/>
      <x:c r="N66" s="15"/>
    </x:row>
    <x:row r="67" ht="24" customHeight="1">
      <x:c r="A67" s="15" t="n">
        <x:v>56</x:v>
      </x:c>
      <x:c r="B67" s="18"/>
      <x:c r="C67" s="18"/>
      <x:c r="D67" s="19" t="str">
        <x:f>IF(AND(F67="Ready",ISNUMBER($B$4),$B$4&gt;0),C67/$B$4,"")</x:f>
      </x:c>
      <x:c r="E67" s="24" t="str">
        <x:f>IF(AND(ISNUMBER(D67),ISNUMBER($B$5),$B$5&gt;0,ISNUMBER($B$6),$B$6&gt;0),D67*(B67/(2*1000*$B$5))^$B$6,"")</x:f>
      </x:c>
      <x:c r="F67" s="15" t="str">
        <x:f>IF(COUNTA(B67:C67)=0,"",IF(COUNT(B67:C67)&lt;&gt;2,"Incomplete bin",IF(OR(B67&lt;0,C67&lt;0),"Invalid input","Ready")))</x:f>
      </x:c>
      <x:c r="G67" s="15"/>
      <x:c r="H67" s="15" t="str">
        <x:v>The reference is a normalization value; it is not the operating stress or an allowable stress limit.</x:v>
      </x:c>
      <x:c r="I67" s="15"/>
      <x:c r="J67" s="15"/>
      <x:c r="K67" s="15"/>
      <x:c r="L67" s="15"/>
      <x:c r="M67" s="15"/>
      <x:c r="N67" s="15"/>
    </x:row>
    <x:row r="68" ht="24" customHeight="1">
      <x:c r="A68" s="15" t="n">
        <x:v>57</x:v>
      </x:c>
      <x:c r="B68" s="18"/>
      <x:c r="C68" s="18"/>
      <x:c r="D68" s="19" t="str">
        <x:f>IF(AND(F68="Ready",ISNUMBER($B$4),$B$4&gt;0),C68/$B$4,"")</x:f>
      </x:c>
      <x:c r="E68" s="24" t="str">
        <x:f>IF(AND(ISNUMBER(D68),ISNUMBER($B$5),$B$5&gt;0,ISNUMBER($B$6),$B$6&gt;0),D68*(B68/(2*1000*$B$5))^$B$6,"")</x:f>
      </x:c>
      <x:c r="F68" s="15" t="str">
        <x:f>IF(COUNTA(B68:C68)=0,"",IF(COUNT(B68:C68)&lt;&gt;2,"Incomplete bin",IF(OR(B68&lt;0,C68&lt;0),"Invalid input","Ready")))</x:f>
      </x:c>
      <x:c r="G68" s="15"/>
      <x:c r="H68" s="15" t="str">
        <x:v>Hoop-stress range: Δσ (ksi) = ΔP (psi) × (OD/t) / (2 × 1000).</x:v>
      </x:c>
      <x:c r="I68" s="15"/>
      <x:c r="J68" s="15"/>
      <x:c r="K68" s="15"/>
      <x:c r="L68" s="15"/>
      <x:c r="M68" s="15"/>
      <x:c r="N68" s="15"/>
    </x:row>
    <x:row r="69" ht="24" customHeight="1">
      <x:c r="A69" s="15" t="n">
        <x:v>58</x:v>
      </x:c>
      <x:c r="B69" s="18"/>
      <x:c r="C69" s="18"/>
      <x:c r="D69" s="19" t="str">
        <x:f>IF(AND(F69="Ready",ISNUMBER($B$4),$B$4&gt;0),C69/$B$4,"")</x:f>
      </x:c>
      <x:c r="E69" s="24" t="str">
        <x:f>IF(AND(ISNUMBER(D69),ISNUMBER($B$5),$B$5&gt;0,ISNUMBER($B$6),$B$6&gt;0),D69*(B69/(2*1000*$B$5))^$B$6,"")</x:f>
      </x:c>
      <x:c r="F69" s="15" t="str">
        <x:f>IF(COUNTA(B69:C69)=0,"",IF(COUNT(B69:C69)&lt;&gt;2,"Incomplete bin",IF(OR(B69&lt;0,C69&lt;0),"Invalid input","Ready")))</x:f>
      </x:c>
      <x:c r="G69" s="15"/>
      <x:c r="H69" s="15" t="str">
        <x:v>Equivalent cycles per bin = observed cycles × (Δσ / reference stress range)^m.</x:v>
      </x:c>
      <x:c r="I69" s="15"/>
      <x:c r="J69" s="15"/>
      <x:c r="K69" s="15"/>
      <x:c r="L69" s="15"/>
      <x:c r="M69" s="15"/>
      <x:c r="N69" s="15"/>
    </x:row>
    <x:row r="70" ht="24" customHeight="1">
      <x:c r="A70" s="15" t="n">
        <x:v>59</x:v>
      </x:c>
      <x:c r="B70" s="18"/>
      <x:c r="C70" s="18"/>
      <x:c r="D70" s="19" t="str">
        <x:f>IF(AND(F70="Ready",ISNUMBER($B$4),$B$4&gt;0),C70/$B$4,"")</x:f>
      </x:c>
      <x:c r="E70" s="24" t="str">
        <x:f>IF(AND(ISNUMBER(D70),ISNUMBER($B$5),$B$5&gt;0,ISNUMBER($B$6),$B$6&gt;0),D70*(B70/(2*1000*$B$5))^$B$6,"")</x:f>
      </x:c>
      <x:c r="F70" s="15" t="str">
        <x:f>IF(COUNTA(B70:C70)=0,"",IF(COUNT(B70:C70)&lt;&gt;2,"Incomplete bin",IF(OR(B70&lt;0,C70&lt;0),"Invalid input","Ready")))</x:f>
      </x:c>
      <x:c r="G70" s="15"/>
      <x:c r="H70" s="15" t="str">
        <x:v>SSI = Σ [equivalent cycles per bin] / observation period (years).</x:v>
      </x:c>
      <x:c r="I70" s="15"/>
      <x:c r="J70" s="15"/>
      <x:c r="K70" s="15"/>
      <x:c r="L70" s="15"/>
      <x:c r="M70" s="15"/>
      <x:c r="N70" s="15"/>
    </x:row>
    <x:row r="71" ht="24" customHeight="1">
      <x:c r="A71" s="15" t="n">
        <x:v>60</x:v>
      </x:c>
      <x:c r="B71" s="18"/>
      <x:c r="C71" s="18"/>
      <x:c r="D71" s="19" t="str">
        <x:f>IF(AND(F71="Ready",ISNUMBER($B$4),$B$4&gt;0),C71/$B$4,"")</x:f>
      </x:c>
      <x:c r="E71" s="24" t="str">
        <x:f>IF(AND(ISNUMBER(D71),ISNUMBER($B$5),$B$5&gt;0,ISNUMBER($B$6),$B$6&gt;0),D71*(B71/(2*1000*$B$5))^$B$6,"")</x:f>
      </x:c>
      <x:c r="F71" s="15" t="str">
        <x:f>IF(COUNTA(B71:C71)=0,"",IF(COUNT(B71:C71)&lt;&gt;2,"Incomplete bin",IF(OR(B71&lt;0,C71&lt;0),"Invalid input","Ready")))</x:f>
      </x:c>
      <x:c r="G71" s="15"/>
      <x:c r="H71" s="15" t="str">
        <x:v>The 1000 converts psi to ksi. Pressure and stress ranges are peak-to-trough ranges, not half-range amplitudes.</x:v>
      </x:c>
      <x:c r="I71" s="15"/>
      <x:c r="J71" s="15"/>
      <x:c r="K71" s="15"/>
      <x:c r="L71" s="15"/>
      <x:c r="M71" s="15"/>
      <x:c r="N71" s="15"/>
    </x:row>
    <x:row r="72" ht="24" customHeight="1">
      <x:c r="A72" s="15" t="n">
        <x:v>61</x:v>
      </x:c>
      <x:c r="B72" s="18"/>
      <x:c r="C72" s="18"/>
      <x:c r="D72" s="19" t="str">
        <x:f>IF(AND(F72="Ready",ISNUMBER($B$4),$B$4&gt;0),C72/$B$4,"")</x:f>
      </x:c>
      <x:c r="E72" s="24" t="str">
        <x:f>IF(AND(ISNUMBER(D72),ISNUMBER($B$5),$B$5&gt;0,ISNUMBER($B$6),$B$6&gt;0),D72*(B72/(2*1000*$B$5))^$B$6,"")</x:f>
      </x:c>
      <x:c r="F72" s="15" t="str">
        <x:f>IF(COUNTA(B72:C72)=0,"",IF(COUNT(B72:C72)&lt;&gt;2,"Incomplete bin",IF(OR(B72&lt;0,C72&lt;0),"Invalid input","Ready")))</x:f>
      </x:c>
      <x:c r="G72" s="15"/>
      <x:c r="H72" s="15"/>
      <x:c r="I72" s="15"/>
      <x:c r="J72" s="15"/>
      <x:c r="K72" s="15"/>
      <x:c r="L72" s="15"/>
      <x:c r="M72" s="15"/>
      <x:c r="N72" s="15"/>
    </x:row>
    <x:row r="73" ht="24" customHeight="1">
      <x:c r="A73" s="15" t="n">
        <x:v>62</x:v>
      </x:c>
      <x:c r="B73" s="18"/>
      <x:c r="C73" s="18"/>
      <x:c r="D73" s="19" t="str">
        <x:f>IF(AND(F73="Ready",ISNUMBER($B$4),$B$4&gt;0),C73/$B$4,"")</x:f>
      </x:c>
      <x:c r="E73" s="24" t="str">
        <x:f>IF(AND(ISNUMBER(D73),ISNUMBER($B$5),$B$5&gt;0,ISNUMBER($B$6),$B$6&gt;0),D73*(B73/(2*1000*$B$5))^$B$6,"")</x:f>
      </x:c>
      <x:c r="F73" s="15" t="str">
        <x:f>IF(COUNTA(B73:C73)=0,"",IF(COUNT(B73:C73)&lt;&gt;2,"Incomplete bin",IF(OR(B73&lt;0,C73&lt;0),"Invalid input","Ready")))</x:f>
      </x:c>
      <x:c r="G73" s="15"/>
      <x:c r="H73" s="27" t="str">
        <x:v>Worked example — illustrative inputs, separate from the operating-data table</x:v>
      </x:c>
      <x:c r="I73" s="15"/>
      <x:c r="J73" s="15"/>
      <x:c r="K73" s="15"/>
      <x:c r="L73" s="15"/>
      <x:c r="M73" s="15"/>
      <x:c r="N73" s="15"/>
    </x:row>
    <x:row r="74" ht="24" customHeight="1">
      <x:c r="A74" s="15" t="n">
        <x:v>63</x:v>
      </x:c>
      <x:c r="B74" s="18"/>
      <x:c r="C74" s="18"/>
      <x:c r="D74" s="19" t="str">
        <x:f>IF(AND(F74="Ready",ISNUMBER($B$4),$B$4&gt;0),C74/$B$4,"")</x:f>
      </x:c>
      <x:c r="E74" s="24" t="str">
        <x:f>IF(AND(ISNUMBER(D74),ISNUMBER($B$5),$B$5&gt;0,ISNUMBER($B$6),$B$6&gt;0),D74*(B74/(2*1000*$B$5))^$B$6,"")</x:f>
      </x:c>
      <x:c r="F74" s="15" t="str">
        <x:f>IF(COUNTA(B74:C74)=0,"",IF(COUNT(B74:C74)&lt;&gt;2,"Incomplete bin",IF(OR(B74&lt;0,C74&lt;0),"Invalid input","Ready")))</x:f>
      </x:c>
      <x:c r="G74" s="15"/>
      <x:c r="H74" s="15"/>
      <x:c r="I74" s="15"/>
      <x:c r="J74" s="15"/>
      <x:c r="K74" s="15"/>
      <x:c r="L74" s="15"/>
      <x:c r="M74" s="15"/>
      <x:c r="N74" s="15"/>
    </x:row>
    <x:row r="75" ht="60" customHeight="1">
      <x:c r="A75" s="15" t="n">
        <x:v>64</x:v>
      </x:c>
      <x:c r="B75" s="18"/>
      <x:c r="C75" s="18"/>
      <x:c r="D75" s="19" t="str">
        <x:f>IF(AND(F75="Ready",ISNUMBER($B$4),$B$4&gt;0),C75/$B$4,"")</x:f>
      </x:c>
      <x:c r="E75" s="24" t="str">
        <x:f>IF(AND(ISNUMBER(D75),ISNUMBER($B$5),$B$5&gt;0,ISNUMBER($B$6),$B$6&gt;0),D75*(B75/(2*1000*$B$5))^$B$6,"")</x:f>
      </x:c>
      <x:c r="F75" s="15" t="str">
        <x:f>IF(COUNTA(B75:C75)=0,"",IF(COUNT(B75:C75)&lt;&gt;2,"Incomplete bin",IF(OR(B75&lt;0,C75&lt;0),"Invalid input","Ready")))</x:f>
      </x:c>
      <x:c r="G75" s="15"/>
      <x:c r="H75" s="93" t="str">
        <x:v>Pressure range ΔP (psi)</x:v>
      </x:c>
      <x:c r="I75" s="93" t="str">
        <x:v>OD/t</x:v>
      </x:c>
      <x:c r="J75" s="93" t="str">
        <x:v>Observed cycles</x:v>
      </x:c>
      <x:c r="K75" s="93" t="str">
        <x:v>Hoop-stress range (ksi)</x:v>
      </x:c>
      <x:c r="L75" s="93" t="str">
        <x:v>Equivalent cycles at 13 ksi</x:v>
      </x:c>
      <x:c r="M75" s="93" t="str">
        <x:v>Observation period (years)</x:v>
      </x:c>
      <x:c r="N75" s="93" t="str">
        <x:v>Annual SSI contribution</x:v>
      </x:c>
    </x:row>
    <x:row r="76" ht="24" customHeight="1">
      <x:c r="A76" s="15" t="n">
        <x:v>65</x:v>
      </x:c>
      <x:c r="B76" s="18"/>
      <x:c r="C76" s="18"/>
      <x:c r="D76" s="19" t="str">
        <x:f>IF(AND(F76="Ready",ISNUMBER($B$4),$B$4&gt;0),C76/$B$4,"")</x:f>
      </x:c>
      <x:c r="E76" s="24" t="str">
        <x:f>IF(AND(ISNUMBER(D76),ISNUMBER($B$5),$B$5&gt;0,ISNUMBER($B$6),$B$6&gt;0),D76*(B76/(2*1000*$B$5))^$B$6,"")</x:f>
      </x:c>
      <x:c r="F76" s="15" t="str">
        <x:f>IF(COUNTA(B76:C76)=0,"",IF(COUNT(B76:C76)&lt;&gt;2,"Incomplete bin",IF(OR(B76&lt;0,C76&lt;0),"Invalid input","Ready")))</x:f>
      </x:c>
      <x:c r="G76" s="15"/>
      <x:c r="H76" s="95" t="n">
        <x:v>260</x:v>
      </x:c>
      <x:c r="I76" s="95" t="n">
        <x:v>100</x:v>
      </x:c>
      <x:c r="J76" s="95" t="n">
        <x:v>1</x:v>
      </x:c>
      <x:c r="K76" s="19" t="n">
        <x:f>H76*I76/(2*1000)</x:f>
        <x:v>13</x:v>
      </x:c>
      <x:c r="L76" s="19" t="n">
        <x:f>J76*(K76/$B$5)^$B$6</x:f>
        <x:v>1</x:v>
      </x:c>
      <x:c r="M76" s="95" t="n">
        <x:v>1</x:v>
      </x:c>
      <x:c r="N76" s="96" t="n">
        <x:f>L76/M76</x:f>
        <x:v>1</x:v>
      </x:c>
    </x:row>
    <x:row r="77" ht="24" customHeight="1">
      <x:c r="A77" s="15" t="n">
        <x:v>66</x:v>
      </x:c>
      <x:c r="B77" s="18"/>
      <x:c r="C77" s="18"/>
      <x:c r="D77" s="19" t="str">
        <x:f>IF(AND(F77="Ready",ISNUMBER($B$4),$B$4&gt;0),C77/$B$4,"")</x:f>
      </x:c>
      <x:c r="E77" s="24" t="str">
        <x:f>IF(AND(ISNUMBER(D77),ISNUMBER($B$5),$B$5&gt;0,ISNUMBER($B$6),$B$6&gt;0),D77*(B77/(2*1000*$B$5))^$B$6,"")</x:f>
      </x:c>
      <x:c r="F77" s="15" t="str">
        <x:f>IF(COUNTA(B77:C77)=0,"",IF(COUNT(B77:C77)&lt;&gt;2,"Incomplete bin",IF(OR(B77&lt;0,C77&lt;0),"Invalid input","Ready")))</x:f>
      </x:c>
      <x:c r="G77" s="15"/>
      <x:c r="H77" s="95" t="n">
        <x:v>520</x:v>
      </x:c>
      <x:c r="I77" s="95" t="n">
        <x:v>100</x:v>
      </x:c>
      <x:c r="J77" s="95" t="n">
        <x:v>1</x:v>
      </x:c>
      <x:c r="K77" s="19" t="n">
        <x:f>H77*I77/(2*1000)</x:f>
        <x:v>26</x:v>
      </x:c>
      <x:c r="L77" s="19" t="n">
        <x:f>J77*(K77/$B$5)^$B$6</x:f>
        <x:v>8</x:v>
      </x:c>
      <x:c r="M77" s="95" t="n">
        <x:v>1</x:v>
      </x:c>
      <x:c r="N77" s="96" t="n">
        <x:f>L77/M77</x:f>
        <x:v>8</x:v>
      </x:c>
    </x:row>
    <x:row r="78" ht="24" customHeight="1">
      <x:c r="A78" s="15" t="n">
        <x:v>67</x:v>
      </x:c>
      <x:c r="B78" s="18"/>
      <x:c r="C78" s="18"/>
      <x:c r="D78" s="19" t="str">
        <x:f>IF(AND(F78="Ready",ISNUMBER($B$4),$B$4&gt;0),C78/$B$4,"")</x:f>
      </x:c>
      <x:c r="E78" s="24" t="str">
        <x:f>IF(AND(ISNUMBER(D78),ISNUMBER($B$5),$B$5&gt;0,ISNUMBER($B$6),$B$6&gt;0),D78*(B78/(2*1000*$B$5))^$B$6,"")</x:f>
      </x:c>
      <x:c r="F78" s="15" t="str">
        <x:f>IF(COUNTA(B78:C78)=0,"",IF(COUNT(B78:C78)&lt;&gt;2,"Incomplete bin",IF(OR(B78&lt;0,C78&lt;0),"Invalid input","Ready")))</x:f>
      </x:c>
      <x:c r="G78" s="15"/>
      <x:c r="H78" s="95" t="n">
        <x:v>130</x:v>
      </x:c>
      <x:c r="I78" s="95" t="n">
        <x:v>100</x:v>
      </x:c>
      <x:c r="J78" s="95" t="n">
        <x:v>8</x:v>
      </x:c>
      <x:c r="K78" s="19" t="n">
        <x:f>H78*I78/(2*1000)</x:f>
        <x:v>6.5</x:v>
      </x:c>
      <x:c r="L78" s="19" t="n">
        <x:f>J78*(K78/$B$5)^$B$6</x:f>
        <x:v>1</x:v>
      </x:c>
      <x:c r="M78" s="95" t="n">
        <x:v>1</x:v>
      </x:c>
      <x:c r="N78" s="96" t="n">
        <x:f>L78/M78</x:f>
        <x:v>1</x:v>
      </x:c>
    </x:row>
    <x:row r="79" ht="24" customHeight="1">
      <x:c r="A79" s="15" t="n">
        <x:v>68</x:v>
      </x:c>
      <x:c r="B79" s="18"/>
      <x:c r="C79" s="18"/>
      <x:c r="D79" s="19" t="str">
        <x:f>IF(AND(F79="Ready",ISNUMBER($B$4),$B$4&gt;0),C79/$B$4,"")</x:f>
      </x:c>
      <x:c r="E79" s="24" t="str">
        <x:f>IF(AND(ISNUMBER(D79),ISNUMBER($B$5),$B$5&gt;0,ISNUMBER($B$6),$B$6&gt;0),D79*(B79/(2*1000*$B$5))^$B$6,"")</x:f>
      </x:c>
      <x:c r="F79" s="15" t="str">
        <x:f>IF(COUNTA(B79:C79)=0,"",IF(COUNT(B79:C79)&lt;&gt;2,"Incomplete bin",IF(OR(B79&lt;0,C79&lt;0),"Invalid input","Ready")))</x:f>
      </x:c>
      <x:c r="G79" s="15"/>
      <x:c r="H79" s="15"/>
      <x:c r="I79" s="15"/>
      <x:c r="J79" s="15"/>
      <x:c r="K79" s="15"/>
      <x:c r="L79" s="15"/>
      <x:c r="M79" s="15"/>
      <x:c r="N79" s="15"/>
    </x:row>
    <x:row r="80" ht="24" customHeight="1">
      <x:c r="A80" s="15" t="n">
        <x:v>69</x:v>
      </x:c>
      <x:c r="B80" s="18"/>
      <x:c r="C80" s="18"/>
      <x:c r="D80" s="19" t="str">
        <x:f>IF(AND(F80="Ready",ISNUMBER($B$4),$B$4&gt;0),C80/$B$4,"")</x:f>
      </x:c>
      <x:c r="E80" s="24" t="str">
        <x:f>IF(AND(ISNUMBER(D80),ISNUMBER($B$5),$B$5&gt;0,ISNUMBER($B$6),$B$6&gt;0),D80*(B80/(2*1000*$B$5))^$B$6,"")</x:f>
      </x:c>
      <x:c r="F80" s="15" t="str">
        <x:f>IF(COUNTA(B80:C80)=0,"",IF(COUNT(B80:C80)&lt;&gt;2,"Incomplete bin",IF(OR(B80&lt;0,C80&lt;0),"Invalid input","Ready")))</x:f>
      </x:c>
      <x:c r="G80" s="15"/>
      <x:c r="H80" s="15" t="str">
        <x:v>260 psi × 100 / 2 = 13,000 psi = 13 ksi: one cycle equals one 13 ksi cycle.</x:v>
      </x:c>
      <x:c r="I80" s="15"/>
      <x:c r="J80" s="15"/>
      <x:c r="K80" s="15"/>
      <x:c r="L80" s="15"/>
      <x:c r="M80" s="15"/>
      <x:c r="N80" s="15"/>
    </x:row>
    <x:row r="81" ht="24" customHeight="1">
      <x:c r="A81" s="15" t="n">
        <x:v>70</x:v>
      </x:c>
      <x:c r="B81" s="18"/>
      <x:c r="C81" s="18"/>
      <x:c r="D81" s="19" t="str">
        <x:f>IF(AND(F81="Ready",ISNUMBER($B$4),$B$4&gt;0),C81/$B$4,"")</x:f>
      </x:c>
      <x:c r="E81" s="24" t="str">
        <x:f>IF(AND(ISNUMBER(D81),ISNUMBER($B$5),$B$5&gt;0,ISNUMBER($B$6),$B$6&gt;0),D81*(B81/(2*1000*$B$5))^$B$6,"")</x:f>
      </x:c>
      <x:c r="F81" s="15" t="str">
        <x:f>IF(COUNTA(B81:C81)=0,"",IF(COUNT(B81:C81)&lt;&gt;2,"Incomplete bin",IF(OR(B81&lt;0,C81&lt;0),"Invalid input","Ready")))</x:f>
      </x:c>
      <x:c r="G81" s="15"/>
      <x:c r="H81" s="15" t="str">
        <x:v>520 psi gives 26 ksi: one cycle equals (26 / 13)^3 = 8 equivalent cycles.</x:v>
      </x:c>
      <x:c r="I81" s="15"/>
      <x:c r="J81" s="15"/>
      <x:c r="K81" s="15"/>
      <x:c r="L81" s="15"/>
      <x:c r="M81" s="15"/>
      <x:c r="N81" s="15"/>
    </x:row>
    <x:row r="82" ht="24" customHeight="1">
      <x:c r="A82" s="15" t="n">
        <x:v>71</x:v>
      </x:c>
      <x:c r="B82" s="18"/>
      <x:c r="C82" s="18"/>
      <x:c r="D82" s="19" t="str">
        <x:f>IF(AND(F82="Ready",ISNUMBER($B$4),$B$4&gt;0),C82/$B$4,"")</x:f>
      </x:c>
      <x:c r="E82" s="24" t="str">
        <x:f>IF(AND(ISNUMBER(D82),ISNUMBER($B$5),$B$5&gt;0,ISNUMBER($B$6),$B$6&gt;0),D82*(B82/(2*1000*$B$5))^$B$6,"")</x:f>
      </x:c>
      <x:c r="F82" s="15" t="str">
        <x:f>IF(COUNTA(B82:C82)=0,"",IF(COUNT(B82:C82)&lt;&gt;2,"Incomplete bin",IF(OR(B82&lt;0,C82&lt;0),"Invalid input","Ready")))</x:f>
      </x:c>
      <x:c r="G82" s="15"/>
      <x:c r="H82" s="15" t="str">
        <x:v>130 psi gives 6.5 ksi: eight cycles equal 8 × (6.5 / 13)^3 = 1 equivalent cycle.</x:v>
      </x:c>
      <x:c r="I82" s="15"/>
      <x:c r="J82" s="15"/>
      <x:c r="K82" s="15"/>
      <x:c r="L82" s="15"/>
      <x:c r="M82" s="15"/>
      <x:c r="N82" s="15"/>
    </x:row>
    <x:row r="83" ht="24" customHeight="1">
      <x:c r="A83" s="15" t="n">
        <x:v>72</x:v>
      </x:c>
      <x:c r="B83" s="18"/>
      <x:c r="C83" s="18"/>
      <x:c r="D83" s="19" t="str">
        <x:f>IF(AND(F83="Ready",ISNUMBER($B$4),$B$4&gt;0),C83/$B$4,"")</x:f>
      </x:c>
      <x:c r="E83" s="24" t="str">
        <x:f>IF(AND(ISNUMBER(D83),ISNUMBER($B$5),$B$5&gt;0,ISNUMBER($B$6),$B$6&gt;0),D83*(B83/(2*1000*$B$5))^$B$6,"")</x:f>
      </x:c>
      <x:c r="F83" s="15" t="str">
        <x:f>IF(COUNTA(B83:C83)=0,"",IF(COUNT(B83:C83)&lt;&gt;2,"Incomplete bin",IF(OR(B83&lt;0,C83&lt;0),"Invalid input","Ready")))</x:f>
      </x:c>
      <x:c r="G83" s="15"/>
      <x:c r="H83" s="15" t="str">
        <x:v>Each row is a separate example with a one-year observation period; these examples do not feed the dent calculations.</x:v>
      </x:c>
      <x:c r="I83" s="15"/>
      <x:c r="J83" s="15"/>
      <x:c r="K83" s="15"/>
      <x:c r="L83" s="15"/>
      <x:c r="M83" s="15"/>
      <x:c r="N83" s="15"/>
    </x:row>
    <x:row r="84" ht="24" customHeight="1">
      <x:c r="A84" s="15" t="n">
        <x:v>73</x:v>
      </x:c>
      <x:c r="B84" s="18"/>
      <x:c r="C84" s="18"/>
      <x:c r="D84" s="19" t="str">
        <x:f>IF(AND(F84="Ready",ISNUMBER($B$4),$B$4&gt;0),C84/$B$4,"")</x:f>
      </x:c>
      <x:c r="E84" s="24" t="str">
        <x:f>IF(AND(ISNUMBER(D84),ISNUMBER($B$5),$B$5&gt;0,ISNUMBER($B$6),$B$6&gt;0),D84*(B84/(2*1000*$B$5))^$B$6,"")</x:f>
      </x:c>
      <x:c r="F84" s="15" t="str">
        <x:f>IF(COUNTA(B84:C84)=0,"",IF(COUNT(B84:C84)&lt;&gt;2,"Incomplete bin",IF(OR(B84&lt;0,C84&lt;0),"Invalid input","Ready")))</x:f>
      </x:c>
      <x:c r="G84" s="15"/>
      <x:c r="H84" s="15"/>
      <x:c r="I84" s="15"/>
      <x:c r="J84" s="15"/>
      <x:c r="K84" s="15"/>
      <x:c r="L84" s="15"/>
      <x:c r="M84" s="15"/>
      <x:c r="N84" s="15"/>
    </x:row>
    <x:row r="85" ht="24" customHeight="1">
      <x:c r="A85" s="15" t="n">
        <x:v>74</x:v>
      </x:c>
      <x:c r="B85" s="18"/>
      <x:c r="C85" s="18"/>
      <x:c r="D85" s="19" t="str">
        <x:f>IF(AND(F85="Ready",ISNUMBER($B$4),$B$4&gt;0),C85/$B$4,"")</x:f>
      </x:c>
      <x:c r="E85" s="24" t="str">
        <x:f>IF(AND(ISNUMBER(D85),ISNUMBER($B$5),$B$5&gt;0,ISNUMBER($B$6),$B$6&gt;0),D85*(B85/(2*1000*$B$5))^$B$6,"")</x:f>
      </x:c>
      <x:c r="F85" s="15" t="str">
        <x:f>IF(COUNTA(B85:C85)=0,"",IF(COUNT(B85:C85)&lt;&gt;2,"Incomplete bin",IF(OR(B85&lt;0,C85&lt;0),"Invalid input","Ready")))</x:f>
      </x:c>
      <x:c r="G85" s="15"/>
      <x:c r="H85" s="15" t="str">
        <x:v>The formulas link to B5 = 13 ksi and B6 = 3, matching the main SSI and fatigue-life convention.</x:v>
      </x:c>
      <x:c r="I85" s="15"/>
      <x:c r="J85" s="15"/>
      <x:c r="K85" s="15"/>
      <x:c r="L85" s="15"/>
      <x:c r="M85" s="15"/>
      <x:c r="N85" s="15"/>
    </x:row>
    <x:row r="86" ht="24" customHeight="1">
      <x:c r="A86" s="15" t="n">
        <x:v>75</x:v>
      </x:c>
      <x:c r="B86" s="18"/>
      <x:c r="C86" s="18"/>
      <x:c r="D86" s="19" t="str">
        <x:f>IF(AND(F86="Ready",ISNUMBER($B$4),$B$4&gt;0),C86/$B$4,"")</x:f>
      </x:c>
      <x:c r="E86" s="24" t="str">
        <x:f>IF(AND(ISNUMBER(D86),ISNUMBER($B$5),$B$5&gt;0,ISNUMBER($B$6),$B$6&gt;0),D86*(B86/(2*1000*$B$5))^$B$6,"")</x:f>
      </x:c>
      <x:c r="F86" s="15" t="str">
        <x:f>IF(COUNTA(B86:C86)=0,"",IF(COUNT(B86:C86)&lt;&gt;2,"Incomplete bin",IF(OR(B86&lt;0,C86&lt;0),"Invalid input","Ready")))</x:f>
      </x:c>
      <x:c r="G86" s="15"/>
      <x:c r="H86" s="15" t="str">
        <x:v>Method source: BMT 30348.FR Rev.02, Appendix C.3–C.4, as cited above on this sheet.</x:v>
      </x:c>
      <x:c r="I86" s="15"/>
      <x:c r="J86" s="15"/>
      <x:c r="K86" s="15"/>
      <x:c r="L86" s="15"/>
      <x:c r="M86" s="15"/>
      <x:c r="N86" s="15"/>
    </x:row>
    <x:row r="87" ht="24" customHeight="1">
      <x:c r="A87" s="15" t="n">
        <x:v>76</x:v>
      </x:c>
      <x:c r="B87" s="18"/>
      <x:c r="C87" s="18"/>
      <x:c r="D87" s="19" t="str">
        <x:f>IF(AND(F87="Ready",ISNUMBER($B$4),$B$4&gt;0),C87/$B$4,"")</x:f>
      </x:c>
      <x:c r="E87" s="24" t="str">
        <x:f>IF(AND(ISNUMBER(D87),ISNUMBER($B$5),$B$5&gt;0,ISNUMBER($B$6),$B$6&gt;0),D87*(B87/(2*1000*$B$5))^$B$6,"")</x:f>
      </x:c>
      <x:c r="F87" s="15" t="str">
        <x:f>IF(COUNTA(B87:C87)=0,"",IF(COUNT(B87:C87)&lt;&gt;2,"Incomplete bin",IF(OR(B87&lt;0,C87&lt;0),"Invalid input","Ready")))</x:f>
      </x:c>
      <x:c r="G87" s="15"/>
      <x:c r="H87" s="15"/>
      <x:c r="I87" s="15"/>
      <x:c r="J87" s="15"/>
      <x:c r="K87" s="15"/>
      <x:c r="L87" s="15"/>
      <x:c r="M87" s="15"/>
      <x:c r="N87" s="15"/>
    </x:row>
    <x:row r="88" ht="24" customHeight="1">
      <x:c r="A88" s="15" t="n">
        <x:v>77</x:v>
      </x:c>
      <x:c r="B88" s="18"/>
      <x:c r="C88" s="18"/>
      <x:c r="D88" s="19" t="str">
        <x:f>IF(AND(F88="Ready",ISNUMBER($B$4),$B$4&gt;0),C88/$B$4,"")</x:f>
      </x:c>
      <x:c r="E88" s="24" t="str">
        <x:f>IF(AND(ISNUMBER(D88),ISNUMBER($B$5),$B$5&gt;0,ISNUMBER($B$6),$B$6&gt;0),D88*(B88/(2*1000*$B$5))^$B$6,"")</x:f>
      </x:c>
      <x:c r="F88" s="15" t="str">
        <x:f>IF(COUNTA(B88:C88)=0,"",IF(COUNT(B88:C88)&lt;&gt;2,"Incomplete bin",IF(OR(B88&lt;0,C88&lt;0),"Invalid input","Ready")))</x:f>
      </x:c>
      <x:c r="G88" s="15"/>
      <x:c r="H88" s="15"/>
      <x:c r="I88" s="15"/>
      <x:c r="J88" s="15"/>
      <x:c r="K88" s="15"/>
      <x:c r="L88" s="15"/>
      <x:c r="M88" s="15"/>
      <x:c r="N88" s="15"/>
    </x:row>
    <x:row r="89" ht="22" customHeight="1">
      <x:c r="A89" s="15" t="n">
        <x:v>78</x:v>
      </x:c>
      <x:c r="B89" s="18"/>
      <x:c r="C89" s="18"/>
      <x:c r="D89" s="19" t="str">
        <x:f>IF(AND(F89="Ready",ISNUMBER($B$4),$B$4&gt;0),C89/$B$4,"")</x:f>
      </x:c>
      <x:c r="E89" s="24" t="str">
        <x:f>IF(AND(ISNUMBER(D89),ISNUMBER($B$5),$B$5&gt;0,ISNUMBER($B$6),$B$6&gt;0),D89*(B89/(2*1000*$B$5))^$B$6,"")</x:f>
      </x:c>
      <x:c r="F89" s="15" t="str">
        <x:f>IF(COUNTA(B89:C89)=0,"",IF(COUNT(B89:C89)&lt;&gt;2,"Incomplete bin",IF(OR(B89&lt;0,C89&lt;0),"Invalid input","Ready")))</x:f>
      </x:c>
      <x:c r="G89" s="15"/>
      <x:c r="H89" s="15"/>
      <x:c r="I89" s="15"/>
      <x:c r="J89" s="15"/>
      <x:c r="K89" s="15"/>
      <x:c r="L89" s="15"/>
    </x:row>
    <x:row r="90" ht="22" customHeight="1">
      <x:c r="A90" s="15" t="n">
        <x:v>79</x:v>
      </x:c>
      <x:c r="B90" s="18"/>
      <x:c r="C90" s="18"/>
      <x:c r="D90" s="19" t="str">
        <x:f>IF(AND(F90="Ready",ISNUMBER($B$4),$B$4&gt;0),C90/$B$4,"")</x:f>
      </x:c>
      <x:c r="E90" s="24" t="str">
        <x:f>IF(AND(ISNUMBER(D90),ISNUMBER($B$5),$B$5&gt;0,ISNUMBER($B$6),$B$6&gt;0),D90*(B90/(2*1000*$B$5))^$B$6,"")</x:f>
      </x:c>
      <x:c r="F90" s="15" t="str">
        <x:f>IF(COUNTA(B90:C90)=0,"",IF(COUNT(B90:C90)&lt;&gt;2,"Incomplete bin",IF(OR(B90&lt;0,C90&lt;0),"Invalid input","Ready")))</x:f>
      </x:c>
      <x:c r="G90" s="15"/>
      <x:c r="H90" s="15"/>
      <x:c r="I90" s="15"/>
      <x:c r="J90" s="15"/>
      <x:c r="K90" s="15"/>
      <x:c r="L90" s="15"/>
    </x:row>
    <x:row r="91" ht="22" customHeight="1">
      <x:c r="A91" s="15" t="n">
        <x:v>80</x:v>
      </x:c>
      <x:c r="B91" s="18"/>
      <x:c r="C91" s="18"/>
      <x:c r="D91" s="19" t="str">
        <x:f>IF(AND(F91="Ready",ISNUMBER($B$4),$B$4&gt;0),C91/$B$4,"")</x:f>
      </x:c>
      <x:c r="E91" s="24" t="str">
        <x:f>IF(AND(ISNUMBER(D91),ISNUMBER($B$5),$B$5&gt;0,ISNUMBER($B$6),$B$6&gt;0),D91*(B91/(2*1000*$B$5))^$B$6,"")</x:f>
      </x:c>
      <x:c r="F91" s="15" t="str">
        <x:f>IF(COUNTA(B91:C91)=0,"",IF(COUNT(B91:C91)&lt;&gt;2,"Incomplete bin",IF(OR(B91&lt;0,C91&lt;0),"Invalid input","Ready")))</x:f>
      </x:c>
      <x:c r="G91" s="15"/>
      <x:c r="H91" s="15"/>
      <x:c r="I91" s="15"/>
      <x:c r="J91" s="15"/>
      <x:c r="K91" s="15"/>
      <x:c r="L91" s="15"/>
    </x:row>
    <x:row r="92" ht="22" customHeight="1">
      <x:c r="A92" s="15" t="n">
        <x:v>81</x:v>
      </x:c>
      <x:c r="B92" s="18"/>
      <x:c r="C92" s="18"/>
      <x:c r="D92" s="19" t="str">
        <x:f>IF(AND(F92="Ready",ISNUMBER($B$4),$B$4&gt;0),C92/$B$4,"")</x:f>
      </x:c>
      <x:c r="E92" s="24" t="str">
        <x:f>IF(AND(ISNUMBER(D92),ISNUMBER($B$5),$B$5&gt;0,ISNUMBER($B$6),$B$6&gt;0),D92*(B92/(2*1000*$B$5))^$B$6,"")</x:f>
      </x:c>
      <x:c r="F92" s="15" t="str">
        <x:f>IF(COUNTA(B92:C92)=0,"",IF(COUNT(B92:C92)&lt;&gt;2,"Incomplete bin",IF(OR(B92&lt;0,C92&lt;0),"Invalid input","Ready")))</x:f>
      </x:c>
      <x:c r="G92" s="15"/>
      <x:c r="H92" s="15"/>
      <x:c r="I92" s="15"/>
      <x:c r="J92" s="15"/>
      <x:c r="K92" s="15"/>
      <x:c r="L92" s="15"/>
    </x:row>
    <x:row r="93" ht="22" customHeight="1">
      <x:c r="A93" s="15" t="n">
        <x:v>82</x:v>
      </x:c>
      <x:c r="B93" s="18"/>
      <x:c r="C93" s="18"/>
      <x:c r="D93" s="19" t="str">
        <x:f>IF(AND(F93="Ready",ISNUMBER($B$4),$B$4&gt;0),C93/$B$4,"")</x:f>
      </x:c>
      <x:c r="E93" s="24" t="str">
        <x:f>IF(AND(ISNUMBER(D93),ISNUMBER($B$5),$B$5&gt;0,ISNUMBER($B$6),$B$6&gt;0),D93*(B93/(2*1000*$B$5))^$B$6,"")</x:f>
      </x:c>
      <x:c r="F93" s="15" t="str">
        <x:f>IF(COUNTA(B93:C93)=0,"",IF(COUNT(B93:C93)&lt;&gt;2,"Incomplete bin",IF(OR(B93&lt;0,C93&lt;0),"Invalid input","Ready")))</x:f>
      </x:c>
      <x:c r="G93" s="15"/>
      <x:c r="H93" s="15"/>
      <x:c r="I93" s="15"/>
      <x:c r="J93" s="15"/>
      <x:c r="K93" s="15"/>
      <x:c r="L93" s="15"/>
    </x:row>
    <x:row r="94" ht="22" customHeight="1">
      <x:c r="A94" s="15" t="n">
        <x:v>83</x:v>
      </x:c>
      <x:c r="B94" s="18"/>
      <x:c r="C94" s="18"/>
      <x:c r="D94" s="19" t="str">
        <x:f>IF(AND(F94="Ready",ISNUMBER($B$4),$B$4&gt;0),C94/$B$4,"")</x:f>
      </x:c>
      <x:c r="E94" s="24" t="str">
        <x:f>IF(AND(ISNUMBER(D94),ISNUMBER($B$5),$B$5&gt;0,ISNUMBER($B$6),$B$6&gt;0),D94*(B94/(2*1000*$B$5))^$B$6,"")</x:f>
      </x:c>
      <x:c r="F94" s="15" t="str">
        <x:f>IF(COUNTA(B94:C94)=0,"",IF(COUNT(B94:C94)&lt;&gt;2,"Incomplete bin",IF(OR(B94&lt;0,C94&lt;0),"Invalid input","Ready")))</x:f>
      </x:c>
      <x:c r="G94" s="15"/>
      <x:c r="H94" s="15"/>
      <x:c r="I94" s="15"/>
      <x:c r="J94" s="15"/>
      <x:c r="K94" s="15"/>
      <x:c r="L94" s="15"/>
    </x:row>
    <x:row r="95" ht="22" customHeight="1">
      <x:c r="A95" s="15" t="n">
        <x:v>84</x:v>
      </x:c>
      <x:c r="B95" s="18"/>
      <x:c r="C95" s="18"/>
      <x:c r="D95" s="19" t="str">
        <x:f>IF(AND(F95="Ready",ISNUMBER($B$4),$B$4&gt;0),C95/$B$4,"")</x:f>
      </x:c>
      <x:c r="E95" s="24" t="str">
        <x:f>IF(AND(ISNUMBER(D95),ISNUMBER($B$5),$B$5&gt;0,ISNUMBER($B$6),$B$6&gt;0),D95*(B95/(2*1000*$B$5))^$B$6,"")</x:f>
      </x:c>
      <x:c r="F95" s="15" t="str">
        <x:f>IF(COUNTA(B95:C95)=0,"",IF(COUNT(B95:C95)&lt;&gt;2,"Incomplete bin",IF(OR(B95&lt;0,C95&lt;0),"Invalid input","Ready")))</x:f>
      </x:c>
      <x:c r="G95" s="15"/>
      <x:c r="H95" s="15"/>
      <x:c r="I95" s="15"/>
      <x:c r="J95" s="15"/>
      <x:c r="K95" s="15"/>
      <x:c r="L95" s="15"/>
    </x:row>
    <x:row r="96" ht="22" customHeight="1">
      <x:c r="A96" s="15" t="n">
        <x:v>85</x:v>
      </x:c>
      <x:c r="B96" s="18"/>
      <x:c r="C96" s="18"/>
      <x:c r="D96" s="19" t="str">
        <x:f>IF(AND(F96="Ready",ISNUMBER($B$4),$B$4&gt;0),C96/$B$4,"")</x:f>
      </x:c>
      <x:c r="E96" s="24" t="str">
        <x:f>IF(AND(ISNUMBER(D96),ISNUMBER($B$5),$B$5&gt;0,ISNUMBER($B$6),$B$6&gt;0),D96*(B96/(2*1000*$B$5))^$B$6,"")</x:f>
      </x:c>
      <x:c r="F96" s="15" t="str">
        <x:f>IF(COUNTA(B96:C96)=0,"",IF(COUNT(B96:C96)&lt;&gt;2,"Incomplete bin",IF(OR(B96&lt;0,C96&lt;0),"Invalid input","Ready")))</x:f>
      </x:c>
      <x:c r="G96" s="15"/>
      <x:c r="H96" s="15"/>
      <x:c r="I96" s="15"/>
      <x:c r="J96" s="15"/>
      <x:c r="K96" s="15"/>
      <x:c r="L96" s="15"/>
    </x:row>
    <x:row r="97" ht="22" customHeight="1">
      <x:c r="A97" s="15" t="n">
        <x:v>86</x:v>
      </x:c>
      <x:c r="B97" s="18"/>
      <x:c r="C97" s="18"/>
      <x:c r="D97" s="19" t="str">
        <x:f>IF(AND(F97="Ready",ISNUMBER($B$4),$B$4&gt;0),C97/$B$4,"")</x:f>
      </x:c>
      <x:c r="E97" s="24" t="str">
        <x:f>IF(AND(ISNUMBER(D97),ISNUMBER($B$5),$B$5&gt;0,ISNUMBER($B$6),$B$6&gt;0),D97*(B97/(2*1000*$B$5))^$B$6,"")</x:f>
      </x:c>
      <x:c r="F97" s="15" t="str">
        <x:f>IF(COUNTA(B97:C97)=0,"",IF(COUNT(B97:C97)&lt;&gt;2,"Incomplete bin",IF(OR(B97&lt;0,C97&lt;0),"Invalid input","Ready")))</x:f>
      </x:c>
      <x:c r="G97" s="15"/>
      <x:c r="H97" s="15"/>
      <x:c r="I97" s="15"/>
      <x:c r="J97" s="15"/>
      <x:c r="K97" s="15"/>
      <x:c r="L97" s="15"/>
    </x:row>
    <x:row r="98" ht="22" customHeight="1">
      <x:c r="A98" s="15" t="n">
        <x:v>87</x:v>
      </x:c>
      <x:c r="B98" s="18"/>
      <x:c r="C98" s="18"/>
      <x:c r="D98" s="19" t="str">
        <x:f>IF(AND(F98="Ready",ISNUMBER($B$4),$B$4&gt;0),C98/$B$4,"")</x:f>
      </x:c>
      <x:c r="E98" s="24" t="str">
        <x:f>IF(AND(ISNUMBER(D98),ISNUMBER($B$5),$B$5&gt;0,ISNUMBER($B$6),$B$6&gt;0),D98*(B98/(2*1000*$B$5))^$B$6,"")</x:f>
      </x:c>
      <x:c r="F98" s="15" t="str">
        <x:f>IF(COUNTA(B98:C98)=0,"",IF(COUNT(B98:C98)&lt;&gt;2,"Incomplete bin",IF(OR(B98&lt;0,C98&lt;0),"Invalid input","Ready")))</x:f>
      </x:c>
      <x:c r="G98" s="15"/>
      <x:c r="H98" s="15"/>
      <x:c r="I98" s="15"/>
      <x:c r="J98" s="15"/>
      <x:c r="K98" s="15"/>
      <x:c r="L98" s="15"/>
    </x:row>
    <x:row r="99" ht="22" customHeight="1">
      <x:c r="A99" s="15" t="n">
        <x:v>88</x:v>
      </x:c>
      <x:c r="B99" s="18"/>
      <x:c r="C99" s="18"/>
      <x:c r="D99" s="19" t="str">
        <x:f>IF(AND(F99="Ready",ISNUMBER($B$4),$B$4&gt;0),C99/$B$4,"")</x:f>
      </x:c>
      <x:c r="E99" s="24" t="str">
        <x:f>IF(AND(ISNUMBER(D99),ISNUMBER($B$5),$B$5&gt;0,ISNUMBER($B$6),$B$6&gt;0),D99*(B99/(2*1000*$B$5))^$B$6,"")</x:f>
      </x:c>
      <x:c r="F99" s="15" t="str">
        <x:f>IF(COUNTA(B99:C99)=0,"",IF(COUNT(B99:C99)&lt;&gt;2,"Incomplete bin",IF(OR(B99&lt;0,C99&lt;0),"Invalid input","Ready")))</x:f>
      </x:c>
      <x:c r="G99" s="15"/>
      <x:c r="H99" s="15"/>
      <x:c r="I99" s="15"/>
      <x:c r="J99" s="15"/>
      <x:c r="K99" s="15"/>
      <x:c r="L99" s="15"/>
    </x:row>
    <x:row r="100" ht="22" customHeight="1">
      <x:c r="A100" s="15" t="n">
        <x:v>89</x:v>
      </x:c>
      <x:c r="B100" s="18"/>
      <x:c r="C100" s="18"/>
      <x:c r="D100" s="19" t="str">
        <x:f>IF(AND(F100="Ready",ISNUMBER($B$4),$B$4&gt;0),C100/$B$4,"")</x:f>
      </x:c>
      <x:c r="E100" s="24" t="str">
        <x:f>IF(AND(ISNUMBER(D100),ISNUMBER($B$5),$B$5&gt;0,ISNUMBER($B$6),$B$6&gt;0),D100*(B100/(2*1000*$B$5))^$B$6,"")</x:f>
      </x:c>
      <x:c r="F100" s="15" t="str">
        <x:f>IF(COUNTA(B100:C100)=0,"",IF(COUNT(B100:C100)&lt;&gt;2,"Incomplete bin",IF(OR(B100&lt;0,C100&lt;0),"Invalid input","Ready")))</x:f>
      </x:c>
      <x:c r="G100" s="15"/>
      <x:c r="H100" s="15"/>
      <x:c r="I100" s="15"/>
      <x:c r="J100" s="15"/>
      <x:c r="K100" s="15"/>
      <x:c r="L100" s="15"/>
    </x:row>
    <x:row r="101" ht="22" customHeight="1">
      <x:c r="A101" s="15" t="n">
        <x:v>90</x:v>
      </x:c>
      <x:c r="B101" s="18"/>
      <x:c r="C101" s="18"/>
      <x:c r="D101" s="19" t="str">
        <x:f>IF(AND(F101="Ready",ISNUMBER($B$4),$B$4&gt;0),C101/$B$4,"")</x:f>
      </x:c>
      <x:c r="E101" s="24" t="str">
        <x:f>IF(AND(ISNUMBER(D101),ISNUMBER($B$5),$B$5&gt;0,ISNUMBER($B$6),$B$6&gt;0),D101*(B101/(2*1000*$B$5))^$B$6,"")</x:f>
      </x:c>
      <x:c r="F101" s="15" t="str">
        <x:f>IF(COUNTA(B101:C101)=0,"",IF(COUNT(B101:C101)&lt;&gt;2,"Incomplete bin",IF(OR(B101&lt;0,C101&lt;0),"Invalid input","Ready")))</x:f>
      </x:c>
      <x:c r="G101" s="15"/>
      <x:c r="H101" s="15"/>
      <x:c r="I101" s="15"/>
      <x:c r="J101" s="15"/>
      <x:c r="K101" s="15"/>
      <x:c r="L101" s="15"/>
    </x:row>
    <x:row r="102" ht="22" customHeight="1">
      <x:c r="A102" s="15" t="n">
        <x:v>91</x:v>
      </x:c>
      <x:c r="B102" s="18"/>
      <x:c r="C102" s="18"/>
      <x:c r="D102" s="19" t="str">
        <x:f>IF(AND(F102="Ready",ISNUMBER($B$4),$B$4&gt;0),C102/$B$4,"")</x:f>
      </x:c>
      <x:c r="E102" s="24" t="str">
        <x:f>IF(AND(ISNUMBER(D102),ISNUMBER($B$5),$B$5&gt;0,ISNUMBER($B$6),$B$6&gt;0),D102*(B102/(2*1000*$B$5))^$B$6,"")</x:f>
      </x:c>
      <x:c r="F102" s="15" t="str">
        <x:f>IF(COUNTA(B102:C102)=0,"",IF(COUNT(B102:C102)&lt;&gt;2,"Incomplete bin",IF(OR(B102&lt;0,C102&lt;0),"Invalid input","Ready")))</x:f>
      </x:c>
      <x:c r="G102" s="15"/>
      <x:c r="H102" s="15"/>
      <x:c r="I102" s="15"/>
      <x:c r="J102" s="15"/>
      <x:c r="K102" s="15"/>
      <x:c r="L102" s="15"/>
    </x:row>
    <x:row r="103" ht="22" customHeight="1">
      <x:c r="A103" s="15" t="n">
        <x:v>92</x:v>
      </x:c>
      <x:c r="B103" s="18"/>
      <x:c r="C103" s="18"/>
      <x:c r="D103" s="19" t="str">
        <x:f>IF(AND(F103="Ready",ISNUMBER($B$4),$B$4&gt;0),C103/$B$4,"")</x:f>
      </x:c>
      <x:c r="E103" s="24" t="str">
        <x:f>IF(AND(ISNUMBER(D103),ISNUMBER($B$5),$B$5&gt;0,ISNUMBER($B$6),$B$6&gt;0),D103*(B103/(2*1000*$B$5))^$B$6,"")</x:f>
      </x:c>
      <x:c r="F103" s="15" t="str">
        <x:f>IF(COUNTA(B103:C103)=0,"",IF(COUNT(B103:C103)&lt;&gt;2,"Incomplete bin",IF(OR(B103&lt;0,C103&lt;0),"Invalid input","Ready")))</x:f>
      </x:c>
      <x:c r="G103" s="15"/>
      <x:c r="H103" s="15"/>
      <x:c r="I103" s="15"/>
      <x:c r="J103" s="15"/>
      <x:c r="K103" s="15"/>
      <x:c r="L103" s="15"/>
    </x:row>
    <x:row r="104" ht="22" customHeight="1">
      <x:c r="A104" s="15" t="n">
        <x:v>93</x:v>
      </x:c>
      <x:c r="B104" s="18"/>
      <x:c r="C104" s="18"/>
      <x:c r="D104" s="19" t="str">
        <x:f>IF(AND(F104="Ready",ISNUMBER($B$4),$B$4&gt;0),C104/$B$4,"")</x:f>
      </x:c>
      <x:c r="E104" s="24" t="str">
        <x:f>IF(AND(ISNUMBER(D104),ISNUMBER($B$5),$B$5&gt;0,ISNUMBER($B$6),$B$6&gt;0),D104*(B104/(2*1000*$B$5))^$B$6,"")</x:f>
      </x:c>
      <x:c r="F104" s="15" t="str">
        <x:f>IF(COUNTA(B104:C104)=0,"",IF(COUNT(B104:C104)&lt;&gt;2,"Incomplete bin",IF(OR(B104&lt;0,C104&lt;0),"Invalid input","Ready")))</x:f>
      </x:c>
      <x:c r="G104" s="15"/>
      <x:c r="H104" s="15"/>
      <x:c r="I104" s="15"/>
      <x:c r="J104" s="15"/>
      <x:c r="K104" s="15"/>
      <x:c r="L104" s="15"/>
    </x:row>
    <x:row r="105" ht="22" customHeight="1">
      <x:c r="A105" s="15" t="n">
        <x:v>94</x:v>
      </x:c>
      <x:c r="B105" s="18"/>
      <x:c r="C105" s="18"/>
      <x:c r="D105" s="19" t="str">
        <x:f>IF(AND(F105="Ready",ISNUMBER($B$4),$B$4&gt;0),C105/$B$4,"")</x:f>
      </x:c>
      <x:c r="E105" s="24" t="str">
        <x:f>IF(AND(ISNUMBER(D105),ISNUMBER($B$5),$B$5&gt;0,ISNUMBER($B$6),$B$6&gt;0),D105*(B105/(2*1000*$B$5))^$B$6,"")</x:f>
      </x:c>
      <x:c r="F105" s="15" t="str">
        <x:f>IF(COUNTA(B105:C105)=0,"",IF(COUNT(B105:C105)&lt;&gt;2,"Incomplete bin",IF(OR(B105&lt;0,C105&lt;0),"Invalid input","Ready")))</x:f>
      </x:c>
      <x:c r="G105" s="15"/>
      <x:c r="H105" s="15"/>
      <x:c r="I105" s="15"/>
      <x:c r="J105" s="15"/>
      <x:c r="K105" s="15"/>
      <x:c r="L105" s="15"/>
    </x:row>
    <x:row r="106" ht="22" customHeight="1">
      <x:c r="A106" s="15" t="n">
        <x:v>95</x:v>
      </x:c>
      <x:c r="B106" s="18"/>
      <x:c r="C106" s="18"/>
      <x:c r="D106" s="19" t="str">
        <x:f>IF(AND(F106="Ready",ISNUMBER($B$4),$B$4&gt;0),C106/$B$4,"")</x:f>
      </x:c>
      <x:c r="E106" s="24" t="str">
        <x:f>IF(AND(ISNUMBER(D106),ISNUMBER($B$5),$B$5&gt;0,ISNUMBER($B$6),$B$6&gt;0),D106*(B106/(2*1000*$B$5))^$B$6,"")</x:f>
      </x:c>
      <x:c r="F106" s="15" t="str">
        <x:f>IF(COUNTA(B106:C106)=0,"",IF(COUNT(B106:C106)&lt;&gt;2,"Incomplete bin",IF(OR(B106&lt;0,C106&lt;0),"Invalid input","Ready")))</x:f>
      </x:c>
      <x:c r="G106" s="15"/>
      <x:c r="H106" s="15"/>
      <x:c r="I106" s="15"/>
      <x:c r="J106" s="15"/>
      <x:c r="K106" s="15"/>
      <x:c r="L106" s="15"/>
    </x:row>
    <x:row r="107" ht="22" customHeight="1">
      <x:c r="A107" s="15" t="n">
        <x:v>96</x:v>
      </x:c>
      <x:c r="B107" s="18"/>
      <x:c r="C107" s="18"/>
      <x:c r="D107" s="19" t="str">
        <x:f>IF(AND(F107="Ready",ISNUMBER($B$4),$B$4&gt;0),C107/$B$4,"")</x:f>
      </x:c>
      <x:c r="E107" s="24" t="str">
        <x:f>IF(AND(ISNUMBER(D107),ISNUMBER($B$5),$B$5&gt;0,ISNUMBER($B$6),$B$6&gt;0),D107*(B107/(2*1000*$B$5))^$B$6,"")</x:f>
      </x:c>
      <x:c r="F107" s="15" t="str">
        <x:f>IF(COUNTA(B107:C107)=0,"",IF(COUNT(B107:C107)&lt;&gt;2,"Incomplete bin",IF(OR(B107&lt;0,C107&lt;0),"Invalid input","Ready")))</x:f>
      </x:c>
      <x:c r="G107" s="15"/>
      <x:c r="H107" s="15"/>
      <x:c r="I107" s="15"/>
      <x:c r="J107" s="15"/>
      <x:c r="K107" s="15"/>
      <x:c r="L107" s="15"/>
    </x:row>
    <x:row r="108" ht="22" customHeight="1">
      <x:c r="A108" s="15" t="n">
        <x:v>97</x:v>
      </x:c>
      <x:c r="B108" s="18"/>
      <x:c r="C108" s="18"/>
      <x:c r="D108" s="19" t="str">
        <x:f>IF(AND(F108="Ready",ISNUMBER($B$4),$B$4&gt;0),C108/$B$4,"")</x:f>
      </x:c>
      <x:c r="E108" s="24" t="str">
        <x:f>IF(AND(ISNUMBER(D108),ISNUMBER($B$5),$B$5&gt;0,ISNUMBER($B$6),$B$6&gt;0),D108*(B108/(2*1000*$B$5))^$B$6,"")</x:f>
      </x:c>
      <x:c r="F108" s="15" t="str">
        <x:f>IF(COUNTA(B108:C108)=0,"",IF(COUNT(B108:C108)&lt;&gt;2,"Incomplete bin",IF(OR(B108&lt;0,C108&lt;0),"Invalid input","Ready")))</x:f>
      </x:c>
      <x:c r="G108" s="15"/>
      <x:c r="H108" s="15"/>
      <x:c r="I108" s="15"/>
      <x:c r="J108" s="15"/>
      <x:c r="K108" s="15"/>
      <x:c r="L108" s="15"/>
    </x:row>
    <x:row r="109" ht="22" customHeight="1">
      <x:c r="A109" s="15" t="n">
        <x:v>98</x:v>
      </x:c>
      <x:c r="B109" s="18"/>
      <x:c r="C109" s="18"/>
      <x:c r="D109" s="19" t="str">
        <x:f>IF(AND(F109="Ready",ISNUMBER($B$4),$B$4&gt;0),C109/$B$4,"")</x:f>
      </x:c>
      <x:c r="E109" s="24" t="str">
        <x:f>IF(AND(ISNUMBER(D109),ISNUMBER($B$5),$B$5&gt;0,ISNUMBER($B$6),$B$6&gt;0),D109*(B109/(2*1000*$B$5))^$B$6,"")</x:f>
      </x:c>
      <x:c r="F109" s="15" t="str">
        <x:f>IF(COUNTA(B109:C109)=0,"",IF(COUNT(B109:C109)&lt;&gt;2,"Incomplete bin",IF(OR(B109&lt;0,C109&lt;0),"Invalid input","Ready")))</x:f>
      </x:c>
      <x:c r="G109" s="15"/>
      <x:c r="H109" s="15"/>
      <x:c r="I109" s="15"/>
      <x:c r="J109" s="15"/>
      <x:c r="K109" s="15"/>
      <x:c r="L109" s="15"/>
    </x:row>
    <x:row r="110" ht="22" customHeight="1">
      <x:c r="A110" s="15" t="n">
        <x:v>99</x:v>
      </x:c>
      <x:c r="B110" s="18"/>
      <x:c r="C110" s="18"/>
      <x:c r="D110" s="19" t="str">
        <x:f>IF(AND(F110="Ready",ISNUMBER($B$4),$B$4&gt;0),C110/$B$4,"")</x:f>
      </x:c>
      <x:c r="E110" s="24" t="str">
        <x:f>IF(AND(ISNUMBER(D110),ISNUMBER($B$5),$B$5&gt;0,ISNUMBER($B$6),$B$6&gt;0),D110*(B110/(2*1000*$B$5))^$B$6,"")</x:f>
      </x:c>
      <x:c r="F110" s="15" t="str">
        <x:f>IF(COUNTA(B110:C110)=0,"",IF(COUNT(B110:C110)&lt;&gt;2,"Incomplete bin",IF(OR(B110&lt;0,C110&lt;0),"Invalid input","Ready")))</x:f>
      </x:c>
      <x:c r="G110" s="15"/>
      <x:c r="H110" s="15"/>
      <x:c r="I110" s="15"/>
      <x:c r="J110" s="15"/>
      <x:c r="K110" s="15"/>
      <x:c r="L110" s="15"/>
    </x:row>
    <x:row r="111" ht="22" customHeight="1">
      <x:c r="A111" s="15" t="n">
        <x:v>100</x:v>
      </x:c>
      <x:c r="B111" s="18"/>
      <x:c r="C111" s="18"/>
      <x:c r="D111" s="19" t="str">
        <x:f>IF(AND(F111="Ready",ISNUMBER($B$4),$B$4&gt;0),C111/$B$4,"")</x:f>
      </x:c>
      <x:c r="E111" s="24" t="str">
        <x:f>IF(AND(ISNUMBER(D111),ISNUMBER($B$5),$B$5&gt;0,ISNUMBER($B$6),$B$6&gt;0),D111*(B111/(2*1000*$B$5))^$B$6,"")</x:f>
      </x:c>
      <x:c r="F111" s="15" t="str">
        <x:f>IF(COUNTA(B111:C111)=0,"",IF(COUNT(B111:C111)&lt;&gt;2,"Incomplete bin",IF(OR(B111&lt;0,C111&lt;0),"Invalid input","Ready")))</x:f>
      </x:c>
      <x:c r="G111" s="15"/>
      <x:c r="H111" s="15"/>
      <x:c r="I111" s="15"/>
      <x:c r="J111" s="15"/>
      <x:c r="K111" s="15"/>
      <x:c r="L111" s="15"/>
    </x:row>
    <x:row r="112" ht="22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</x:row>
    <x:row r="113" ht="22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</x:row>
  </x:sheetData>
  <x:conditionalFormatting sqref="I4:I4">
    <x:cfRule type="notContainsText" dxfId="0" priority="1" text="Ready"/>
  </x:conditionalFormatting>
  <x:conditionalFormatting sqref="F12:F111">
    <x:cfRule type="containsText" dxfId="1" priority="2" operator="containsText" text="Incomplete"/>
    <x:cfRule type="containsText" dxfId="2" priority="3" operator="containsText" text="Invalid"/>
  </x:conditionalFormatting>
  <x:dataValidations count="3">
    <x:dataValidation type="decimal" operator="greaterThanOrEqual" sqref="B12:C111">
      <x:formula1>0</x:formula1>
    </x:dataValidation>
    <x:dataValidation type="decimal" operator="greaterThan" sqref="B4">
      <x:formula1>0</x:formula1>
    </x:dataValidation>
    <x:dataValidation type="list" sqref="B8">
      <x:formula1>"SAMPLE,ACTUAL"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5" hidden="0" customWidth="1"/>
    <x:col min="8" max="8" width="25" hidden="0" customWidth="1"/>
    <x:col min="9" max="9" width="27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25" customHeight="1">
      <x:c r="A1" s="15"/>
      <x:c r="B1" s="15"/>
      <x:c r="C1" s="15"/>
      <x:c r="D1" s="15"/>
      <x:c r="E1" s="15"/>
      <x:c r="F1" s="15"/>
      <x:c r="G1" s="15"/>
      <x:c r="H1" s="15"/>
      <x:c r="I1" s="15"/>
    </x:row>
    <x:row r="2" ht="25" customHeight="1">
      <x:c r="A2" s="16" t="str">
        <x:v>Dent Fatigue Life Summary</x:v>
      </x:c>
      <x:c r="B2" s="15"/>
      <x:c r="C2" s="15"/>
      <x:c r="D2" s="15"/>
      <x:c r="E2" s="15"/>
      <x:c r="F2" s="15"/>
      <x:c r="G2" s="15"/>
      <x:c r="H2" s="15"/>
      <x:c r="I2" s="15"/>
    </x:row>
    <x:row r="3" ht="25" customHeight="1">
      <x:c r="A3" s="28" t="str">
        <x:f>IF('Pressure Cycling'!B8="ACTUAL","Pressure cycling inputs are marked ACTUAL.","SAMPLE DATA — Results use synthetic demonstration pressure cycles.")</x:f>
        <x:v>SAMPLE DATA — Results use synthetic demonstration pressure cycles.</x:v>
      </x:c>
      <x:c r="B3" s="15"/>
      <x:c r="C3" s="15"/>
      <x:c r="D3" s="15"/>
      <x:c r="E3" s="15"/>
      <x:c r="F3" s="15"/>
      <x:c r="G3" s="15"/>
      <x:c r="H3" s="15"/>
      <x:c r="I3" s="15"/>
    </x:row>
    <x:row r="4" ht="25" customHeight="1">
      <x:c r="A4" s="15" t="str">
        <x:v>Remaining life is measured from the writing date on SSI Kmax. Source column identifies cases without a supplied dent ID.</x:v>
      </x:c>
      <x:c r="B4" s="15"/>
      <x:c r="C4" s="15"/>
      <x:c r="D4" s="15"/>
      <x:c r="E4" s="15"/>
      <x:c r="F4" s="15"/>
      <x:c r="G4" s="15"/>
      <x:c r="H4" s="15"/>
      <x:c r="I4" s="15"/>
      <x:c r="K4" s="97" t="str">
        <x:v>Chart data — linked to the summary</x:v>
      </x:c>
    </x:row>
    <x:row r="5" ht="25" customHeight="1">
      <x:c r="A5" s="15"/>
      <x:c r="B5" s="15"/>
      <x:c r="C5" s="15"/>
      <x:c r="D5" s="15"/>
      <x:c r="E5" s="15"/>
      <x:c r="F5" s="15"/>
      <x:c r="G5" s="15"/>
      <x:c r="H5" s="15"/>
      <x:c r="I5" s="15"/>
    </x:row>
    <x:row r="6" ht="45" customHeight="1">
      <x:c r="A6" s="86" t="str">
        <x:v>Dent ID</x:v>
      </x:c>
      <x:c r="B6" s="86" t="str">
        <x:v>Source column</x:v>
      </x:c>
      <x:c r="C6" s="86" t="str">
        <x:v>OD/t</x:v>
      </x:c>
      <x:c r="D6" s="86" t="str">
        <x:v>SSI (cycles/year)</x:v>
      </x:c>
      <x:c r="E6" s="86" t="str">
        <x:v>Weld involvement</x:v>
      </x:c>
      <x:c r="F6" s="86" t="str">
        <x:v>Metal loss</x:v>
      </x:c>
      <x:c r="G6" s="86" t="str">
        <x:v>Before reductions (years)</x:v>
      </x:c>
      <x:c r="H6" s="86" t="str">
        <x:v>After weld selection (years)</x:v>
      </x:c>
      <x:c r="I6" s="86" t="str">
        <x:v>After applicable reductions (years)</x:v>
      </x:c>
      <x:c r="K6" s="100" t="str">
        <x:v>Dent / case</x:v>
      </x:c>
      <x:c r="L6" s="100" t="str">
        <x:v>SSI</x:v>
      </x:c>
      <x:c r="M6" s="100" t="str">
        <x:v>Before reductions</x:v>
      </x:c>
      <x:c r="N6" s="100" t="str">
        <x:v>After weld selection</x:v>
      </x:c>
      <x:c r="O6" s="100" t="str">
        <x:v>After applicable reductions</x:v>
      </x:c>
    </x:row>
    <x:row r="7" ht="25" customHeight="1">
      <x:c r="A7" s="15" t="str">
        <x:f>IF(OR('SSI Kmax'!T12="",'SSI Kmax'!T12="—"),"Not supplied",'SSI Kmax'!T12)</x:f>
        <x:v>Not supplied</x:v>
      </x:c>
      <x:c r="B7" s="15" t="str">
        <x:f>'SSI Kmax'!A12</x:f>
        <x:v>N</x:v>
      </x:c>
      <x:c r="C7" s="25" t="n">
        <x:f>'SSI Kmax'!D12</x:f>
        <x:v>74.76635514018692</x:v>
      </x:c>
      <x:c r="D7" s="25" t="n">
        <x:f>IF(ISNUMBER('SSI Kmax'!E12),'SSI Kmax'!E12,"")</x:f>
        <x:v>10.507466526387484</x:v>
      </x:c>
      <x:c r="E7" s="88" t="str">
        <x:f>'SSI Kmax'!O12</x:f>
        <x:v>Yes</x:v>
      </x:c>
      <x:c r="F7" s="88" t="str">
        <x:f>'SSI Kmax'!P12</x:f>
        <x:v>No</x:v>
      </x:c>
      <x:c r="G7" s="87" t="n">
        <x:f>IF(ISNUMBER('SSI Kmax'!N12),'SSI Kmax'!N12,"")</x:f>
        <x:v>1107.005810014376</x:v>
      </x:c>
      <x:c r="H7" s="87" t="n">
        <x:f>IF('SSI Kmax'!Q12="","",'SSI Kmax'!Q12)</x:f>
        <x:v>110.7005810014376</x:v>
      </x:c>
      <x:c r="I7" s="89" t="n">
        <x:f>IF('SSI Kmax'!R12="","",'SSI Kmax'!R12)</x:f>
        <x:v>110.7005810014376</x:v>
      </x:c>
      <x:c r="K7" s="14" t="str">
        <x:f>IF(A7="Not supplied","Case "&amp;B7,A7&amp;" ("&amp;B7&amp;")")</x:f>
        <x:v>Case N</x:v>
      </x:c>
      <x:c r="L7" s="65" t="n">
        <x:f>IF(ISNUMBER(D7),D7,"")</x:f>
        <x:v>10.507466526387484</x:v>
      </x:c>
      <x:c r="M7" s="65" t="n">
        <x:f>IF(ISNUMBER(G7),G7,"")</x:f>
        <x:v>1107.005810014376</x:v>
      </x:c>
      <x:c r="N7" s="65" t="n">
        <x:f>IF(ISNUMBER(H7),H7,"")</x:f>
        <x:v>110.7005810014376</x:v>
      </x:c>
      <x:c r="O7" s="65" t="n">
        <x:f>IF(ISNUMBER(I7),I7,"")</x:f>
        <x:v>110.7005810014376</x:v>
      </x:c>
    </x:row>
    <x:row r="8" ht="25" customHeight="1">
      <x:c r="A8" s="15" t="str">
        <x:f>IF(OR('SSI Kmax'!T13="",'SSI Kmax'!T13="—"),"Not supplied",'SSI Kmax'!T13)</x:f>
        <x:v>Not supplied</x:v>
      </x:c>
      <x:c r="B8" s="15" t="str">
        <x:f>'SSI Kmax'!A13</x:f>
        <x:v>O</x:v>
      </x:c>
      <x:c r="C8" s="25" t="n">
        <x:f>'SSI Kmax'!D13</x:f>
        <x:v>72.50755287009063</x:v>
      </x:c>
      <x:c r="D8" s="25" t="n">
        <x:f>IF(ISNUMBER('SSI Kmax'!E13),'SSI Kmax'!E13,"")</x:f>
        <x:v>9.583609978336865</x:v>
      </x:c>
      <x:c r="E8" s="88" t="str">
        <x:f>'SSI Kmax'!O13</x:f>
        <x:v>Yes</x:v>
      </x:c>
      <x:c r="F8" s="88" t="str">
        <x:f>'SSI Kmax'!P13</x:f>
        <x:v>No</x:v>
      </x:c>
      <x:c r="G8" s="87" t="n">
        <x:f>IF(ISNUMBER('SSI Kmax'!N13),'SSI Kmax'!N13,"")</x:f>
        <x:v>1359.3082413116422</x:v>
      </x:c>
      <x:c r="H8" s="87" t="n">
        <x:f>IF('SSI Kmax'!Q13="","",'SSI Kmax'!Q13)</x:f>
        <x:v>135.93082413116423</x:v>
      </x:c>
      <x:c r="I8" s="89" t="n">
        <x:f>IF('SSI Kmax'!R13="","",'SSI Kmax'!R13)</x:f>
        <x:v>135.93082413116423</x:v>
      </x:c>
      <x:c r="K8" s="14" t="str">
        <x:f>IF(A8="Not supplied","Case "&amp;B8,A8&amp;" ("&amp;B8&amp;")")</x:f>
        <x:v>Case O</x:v>
      </x:c>
      <x:c r="L8" s="65" t="n">
        <x:f>IF(ISNUMBER(D8),D8,"")</x:f>
        <x:v>9.583609978336865</x:v>
      </x:c>
      <x:c r="M8" s="65" t="n">
        <x:f>IF(ISNUMBER(G8),G8,"")</x:f>
        <x:v>1359.3082413116422</x:v>
      </x:c>
      <x:c r="N8" s="65" t="n">
        <x:f>IF(ISNUMBER(H8),H8,"")</x:f>
        <x:v>135.93082413116423</x:v>
      </x:c>
      <x:c r="O8" s="65" t="n">
        <x:f>IF(ISNUMBER(I8),I8,"")</x:f>
        <x:v>135.93082413116423</x:v>
      </x:c>
    </x:row>
    <x:row r="9" ht="25" customHeight="1">
      <x:c r="A9" s="15" t="str">
        <x:f>IF(OR('SSI Kmax'!T14="",'SSI Kmax'!T14="—"),"Not supplied",'SSI Kmax'!T14)</x:f>
        <x:v>Not supplied</x:v>
      </x:c>
      <x:c r="B9" s="15" t="str">
        <x:f>'SSI Kmax'!A14</x:f>
        <x:v>P</x:v>
      </x:c>
      <x:c r="C9" s="25" t="n">
        <x:f>'SSI Kmax'!D14</x:f>
        <x:v>73.61963190184049</x:v>
      </x:c>
      <x:c r="D9" s="25" t="n">
        <x:f>IF(ISNUMBER('SSI Kmax'!E14),'SSI Kmax'!E14,"")</x:f>
        <x:v>10.03137145072499</x:v>
      </x:c>
      <x:c r="E9" s="88" t="str">
        <x:f>'SSI Kmax'!O14</x:f>
        <x:v>Yes</x:v>
      </x:c>
      <x:c r="F9" s="88" t="str">
        <x:f>'SSI Kmax'!P14</x:f>
        <x:v>No</x:v>
      </x:c>
      <x:c r="G9" s="87" t="n">
        <x:f>IF(ISNUMBER('SSI Kmax'!N14),'SSI Kmax'!N14,"")</x:f>
        <x:v>1228.0833583311608</x:v>
      </x:c>
      <x:c r="H9" s="87" t="n">
        <x:f>IF('SSI Kmax'!Q14="","",'SSI Kmax'!Q14)</x:f>
        <x:v>122.80833583311608</x:v>
      </x:c>
      <x:c r="I9" s="89" t="n">
        <x:f>IF('SSI Kmax'!R14="","",'SSI Kmax'!R14)</x:f>
        <x:v>122.80833583311608</x:v>
      </x:c>
      <x:c r="K9" s="14" t="str">
        <x:f>IF(A9="Not supplied","Case "&amp;B9,A9&amp;" ("&amp;B9&amp;")")</x:f>
        <x:v>Case P</x:v>
      </x:c>
      <x:c r="L9" s="65" t="n">
        <x:f>IF(ISNUMBER(D9),D9,"")</x:f>
        <x:v>10.03137145072499</x:v>
      </x:c>
      <x:c r="M9" s="65" t="n">
        <x:f>IF(ISNUMBER(G9),G9,"")</x:f>
        <x:v>1228.0833583311608</x:v>
      </x:c>
      <x:c r="N9" s="65" t="n">
        <x:f>IF(ISNUMBER(H9),H9,"")</x:f>
        <x:v>122.80833583311608</x:v>
      </x:c>
      <x:c r="O9" s="65" t="n">
        <x:f>IF(ISNUMBER(I9),I9,"")</x:f>
        <x:v>122.80833583311608</x:v>
      </x:c>
    </x:row>
    <x:row r="10" ht="25" customHeight="1">
      <x:c r="A10" s="15" t="str">
        <x:f>IF(OR('SSI Kmax'!T15="",'SSI Kmax'!T15="—"),"Not supplied",'SSI Kmax'!T15)</x:f>
        <x:v>Not supplied</x:v>
      </x:c>
      <x:c r="B10" s="15" t="str">
        <x:f>'SSI Kmax'!A15</x:f>
        <x:v>Q</x:v>
      </x:c>
      <x:c r="C10" s="25" t="n">
        <x:f>'SSI Kmax'!D15</x:f>
        <x:v>76.92307692307692</x:v>
      </x:c>
      <x:c r="D10" s="25" t="n">
        <x:f>IF(ISNUMBER('SSI Kmax'!E15),'SSI Kmax'!E15,"")</x:f>
        <x:v>11.443248531276048</x:v>
      </x:c>
      <x:c r="E10" s="88" t="str">
        <x:f>'SSI Kmax'!O15</x:f>
        <x:v>Yes</x:v>
      </x:c>
      <x:c r="F10" s="88" t="str">
        <x:f>'SSI Kmax'!P15</x:f>
        <x:v>No</x:v>
      </x:c>
      <x:c r="G10" s="87" t="n">
        <x:f>IF(ISNUMBER('SSI Kmax'!N15),'SSI Kmax'!N15,"")</x:f>
        <x:v>913.7577018556858</x:v>
      </x:c>
      <x:c r="H10" s="87" t="n">
        <x:f>IF('SSI Kmax'!Q15="","",'SSI Kmax'!Q15)</x:f>
        <x:v>91.37577018556858</x:v>
      </x:c>
      <x:c r="I10" s="89" t="n">
        <x:f>IF('SSI Kmax'!R15="","",'SSI Kmax'!R15)</x:f>
        <x:v>91.37577018556858</x:v>
      </x:c>
      <x:c r="K10" s="14" t="str">
        <x:f>IF(A10="Not supplied","Case "&amp;B10,A10&amp;" ("&amp;B10&amp;")")</x:f>
        <x:v>Case Q</x:v>
      </x:c>
      <x:c r="L10" s="65" t="n">
        <x:f>IF(ISNUMBER(D10),D10,"")</x:f>
        <x:v>11.443248531276048</x:v>
      </x:c>
      <x:c r="M10" s="65" t="n">
        <x:f>IF(ISNUMBER(G10),G10,"")</x:f>
        <x:v>913.7577018556858</x:v>
      </x:c>
      <x:c r="N10" s="65" t="n">
        <x:f>IF(ISNUMBER(H10),H10,"")</x:f>
        <x:v>91.37577018556858</x:v>
      </x:c>
      <x:c r="O10" s="65" t="n">
        <x:f>IF(ISNUMBER(I10),I10,"")</x:f>
        <x:v>91.37577018556858</x:v>
      </x:c>
    </x:row>
    <x:row r="11" ht="25" customHeight="1">
      <x:c r="A11" s="15" t="str">
        <x:f>IF(OR('SSI Kmax'!T16="",'SSI Kmax'!T16="—"),"Not supplied",'SSI Kmax'!T16)</x:f>
        <x:v>Not supplied</x:v>
      </x:c>
      <x:c r="B11" s="15" t="str">
        <x:f>'SSI Kmax'!A16</x:f>
        <x:v>R</x:v>
      </x:c>
      <x:c r="C11" s="25" t="n">
        <x:f>'SSI Kmax'!D16</x:f>
        <x:v>70.58823529411764</x:v>
      </x:c>
      <x:c r="D11" s="25" t="n">
        <x:f>IF(ISNUMBER('SSI Kmax'!E16),'SSI Kmax'!E16,"")</x:f>
        <x:v>8.842526321211658</x:v>
      </x:c>
      <x:c r="E11" s="88" t="str">
        <x:f>'SSI Kmax'!O16</x:f>
        <x:v>Yes</x:v>
      </x:c>
      <x:c r="F11" s="88" t="str">
        <x:f>'SSI Kmax'!P16</x:f>
        <x:v>No</x:v>
      </x:c>
      <x:c r="G11" s="87" t="n">
        <x:f>IF(ISNUMBER('SSI Kmax'!N16),'SSI Kmax'!N16,"")</x:f>
        <x:v>1482.7625736233103</x:v>
      </x:c>
      <x:c r="H11" s="87" t="n">
        <x:f>IF('SSI Kmax'!Q16="","",'SSI Kmax'!Q16)</x:f>
        <x:v>148.27625736233102</x:v>
      </x:c>
      <x:c r="I11" s="89" t="n">
        <x:f>IF('SSI Kmax'!R16="","",'SSI Kmax'!R16)</x:f>
        <x:v>148.27625736233102</x:v>
      </x:c>
      <x:c r="K11" s="14" t="str">
        <x:f>IF(A11="Not supplied","Case "&amp;B11,A11&amp;" ("&amp;B11&amp;")")</x:f>
        <x:v>Case R</x:v>
      </x:c>
      <x:c r="L11" s="65" t="n">
        <x:f>IF(ISNUMBER(D11),D11,"")</x:f>
        <x:v>8.842526321211658</x:v>
      </x:c>
      <x:c r="M11" s="65" t="n">
        <x:f>IF(ISNUMBER(G11),G11,"")</x:f>
        <x:v>1482.7625736233103</x:v>
      </x:c>
      <x:c r="N11" s="65" t="n">
        <x:f>IF(ISNUMBER(H11),H11,"")</x:f>
        <x:v>148.27625736233102</x:v>
      </x:c>
      <x:c r="O11" s="65" t="n">
        <x:f>IF(ISNUMBER(I11),I11,"")</x:f>
        <x:v>148.27625736233102</x:v>
      </x:c>
    </x:row>
    <x:row r="12" ht="25" customHeight="1">
      <x:c r="A12" s="15" t="str">
        <x:f>IF(OR('SSI Kmax'!T17="",'SSI Kmax'!T17="—"),"Not supplied",'SSI Kmax'!T17)</x:f>
        <x:v>Not supplied</x:v>
      </x:c>
      <x:c r="B12" s="15" t="str">
        <x:f>'SSI Kmax'!A17</x:f>
        <x:v>S</x:v>
      </x:c>
      <x:c r="C12" s="25" t="n">
        <x:f>'SSI Kmax'!D17</x:f>
        <x:v>71.64179104477611</x:v>
      </x:c>
      <x:c r="D12" s="25" t="n">
        <x:f>IF(ISNUMBER('SSI Kmax'!E17),'SSI Kmax'!E17,"")</x:f>
        <x:v>9.244399198808445</x:v>
      </x:c>
      <x:c r="E12" s="88" t="str">
        <x:f>'SSI Kmax'!O17</x:f>
        <x:v>Yes</x:v>
      </x:c>
      <x:c r="F12" s="88" t="str">
        <x:f>'SSI Kmax'!P17</x:f>
        <x:v>No</x:v>
      </x:c>
      <x:c r="G12" s="87" t="n">
        <x:f>IF(ISNUMBER('SSI Kmax'!N17),'SSI Kmax'!N17,"")</x:f>
        <x:v>1413.2399908776554</x:v>
      </x:c>
      <x:c r="H12" s="87" t="n">
        <x:f>IF('SSI Kmax'!Q17="","",'SSI Kmax'!Q17)</x:f>
        <x:v>141.32399908776554</x:v>
      </x:c>
      <x:c r="I12" s="89" t="n">
        <x:f>IF('SSI Kmax'!R17="","",'SSI Kmax'!R17)</x:f>
        <x:v>141.32399908776554</x:v>
      </x:c>
      <x:c r="K12" s="14" t="str">
        <x:f>IF(A12="Not supplied","Case "&amp;B12,A12&amp;" ("&amp;B12&amp;")")</x:f>
        <x:v>Case S</x:v>
      </x:c>
      <x:c r="L12" s="65" t="n">
        <x:f>IF(ISNUMBER(D12),D12,"")</x:f>
        <x:v>9.244399198808445</x:v>
      </x:c>
      <x:c r="M12" s="65" t="n">
        <x:f>IF(ISNUMBER(G12),G12,"")</x:f>
        <x:v>1413.2399908776554</x:v>
      </x:c>
      <x:c r="N12" s="65" t="n">
        <x:f>IF(ISNUMBER(H12),H12,"")</x:f>
        <x:v>141.32399908776554</x:v>
      </x:c>
      <x:c r="O12" s="65" t="n">
        <x:f>IF(ISNUMBER(I12),I12,"")</x:f>
        <x:v>141.32399908776554</x:v>
      </x:c>
    </x:row>
    <x:row r="13" ht="25" customHeight="1">
      <x:c r="A13" s="15" t="n">
        <x:f>IF(OR('SSI Kmax'!T18="",'SSI Kmax'!T18="—"),"Not supplied",'SSI Kmax'!T18)</x:f>
        <x:v>7588</x:v>
      </x:c>
      <x:c r="B13" s="15" t="str">
        <x:f>'SSI Kmax'!A18</x:f>
        <x:v>T</x:v>
      </x:c>
      <x:c r="C13" s="25" t="n">
        <x:f>'SSI Kmax'!D18</x:f>
        <x:v>70.79646017699115</x:v>
      </x:c>
      <x:c r="D13" s="25" t="n">
        <x:f>IF(ISNUMBER('SSI Kmax'!E18),'SSI Kmax'!E18,"")</x:f>
        <x:v>8.921009826678757</x:v>
      </x:c>
      <x:c r="E13" s="88" t="str">
        <x:f>'SSI Kmax'!O18</x:f>
        <x:v>Yes</x:v>
      </x:c>
      <x:c r="F13" s="88" t="str">
        <x:f>'SSI Kmax'!P18</x:f>
        <x:v>Yes</x:v>
      </x:c>
      <x:c r="G13" s="87" t="n">
        <x:f>IF(ISNUMBER('SSI Kmax'!N18),'SSI Kmax'!N18,"")</x:f>
        <x:v>1468.6681896312132</x:v>
      </x:c>
      <x:c r="H13" s="87" t="n">
        <x:f>IF('SSI Kmax'!Q18="","",'SSI Kmax'!Q18)</x:f>
        <x:v>146.86681896312132</x:v>
      </x:c>
      <x:c r="I13" s="89" t="n">
        <x:f>IF('SSI Kmax'!R18="","",'SSI Kmax'!R18)</x:f>
        <x:v>43.04649257339408</x:v>
      </x:c>
      <x:c r="K13" s="14" t="str">
        <x:f>IF(A13="Not supplied","Case "&amp;B13,A13&amp;" ("&amp;B13&amp;")")</x:f>
        <x:v>7588 (T)</x:v>
      </x:c>
      <x:c r="L13" s="65" t="n">
        <x:f>IF(ISNUMBER(D13),D13,"")</x:f>
        <x:v>8.921009826678757</x:v>
      </x:c>
      <x:c r="M13" s="65" t="n">
        <x:f>IF(ISNUMBER(G13),G13,"")</x:f>
        <x:v>1468.6681896312132</x:v>
      </x:c>
      <x:c r="N13" s="65" t="n">
        <x:f>IF(ISNUMBER(H13),H13,"")</x:f>
        <x:v>146.86681896312132</x:v>
      </x:c>
      <x:c r="O13" s="65" t="n">
        <x:f>IF(ISNUMBER(I13),I13,"")</x:f>
        <x:v>43.04649257339408</x:v>
      </x:c>
    </x:row>
    <x:row r="14" ht="25" customHeight="1">
      <x:c r="A14" s="15" t="str">
        <x:f>IF(OR('SSI Kmax'!T19="",'SSI Kmax'!T19="—"),"Not supplied",'SSI Kmax'!T19)</x:f>
        <x:v>Not supplied</x:v>
      </x:c>
      <x:c r="B14" s="15" t="str">
        <x:f>'SSI Kmax'!A19</x:f>
        <x:v>U</x:v>
      </x:c>
      <x:c r="C14" s="25" t="n">
        <x:f>'SSI Kmax'!D19</x:f>
        <x:v>75.70977917981072</x:v>
      </x:c>
      <x:c r="D14" s="25" t="n">
        <x:f>IF(ISNUMBER('SSI Kmax'!E19),'SSI Kmax'!E19,"")</x:f>
        <x:v>10.910265663018349</x:v>
      </x:c>
      <x:c r="E14" s="88" t="str">
        <x:f>'SSI Kmax'!O19</x:f>
        <x:v>Yes</x:v>
      </x:c>
      <x:c r="F14" s="88" t="str">
        <x:f>'SSI Kmax'!P19</x:f>
        <x:v>No</x:v>
      </x:c>
      <x:c r="G14" s="87" t="n">
        <x:f>IF(ISNUMBER('SSI Kmax'!N19),'SSI Kmax'!N19,"")</x:f>
        <x:v>1017.367489923119</x:v>
      </x:c>
      <x:c r="H14" s="87" t="n">
        <x:f>IF('SSI Kmax'!Q19="","",'SSI Kmax'!Q19)</x:f>
        <x:v>101.7367489923119</x:v>
      </x:c>
      <x:c r="I14" s="89" t="n">
        <x:f>IF('SSI Kmax'!R19="","",'SSI Kmax'!R19)</x:f>
        <x:v>101.7367489923119</x:v>
      </x:c>
      <x:c r="K14" s="14" t="str">
        <x:f>IF(A14="Not supplied","Case "&amp;B14,A14&amp;" ("&amp;B14&amp;")")</x:f>
        <x:v>Case U</x:v>
      </x:c>
      <x:c r="L14" s="65" t="n">
        <x:f>IF(ISNUMBER(D14),D14,"")</x:f>
        <x:v>10.910265663018349</x:v>
      </x:c>
      <x:c r="M14" s="65" t="n">
        <x:f>IF(ISNUMBER(G14),G14,"")</x:f>
        <x:v>1017.367489923119</x:v>
      </x:c>
      <x:c r="N14" s="65" t="n">
        <x:f>IF(ISNUMBER(H14),H14,"")</x:f>
        <x:v>101.7367489923119</x:v>
      </x:c>
      <x:c r="O14" s="65" t="n">
        <x:f>IF(ISNUMBER(I14),I14,"")</x:f>
        <x:v>101.7367489923119</x:v>
      </x:c>
    </x:row>
    <x:row r="15" ht="25" customHeight="1">
      <x:c r="A15" s="15" t="str">
        <x:f>IF(OR('SSI Kmax'!T20="",'SSI Kmax'!T20="—"),"Not supplied",'SSI Kmax'!T20)</x:f>
        <x:v>Not supplied</x:v>
      </x:c>
      <x:c r="B15" s="15" t="str">
        <x:f>'SSI Kmax'!A20</x:f>
        <x:v>V</x:v>
      </x:c>
      <x:c r="C15" s="25" t="n">
        <x:f>'SSI Kmax'!D20</x:f>
        <x:v>75</x:v>
      </x:c>
      <x:c r="D15" s="25" t="n">
        <x:f>IF(ISNUMBER('SSI Kmax'!E20),'SSI Kmax'!E20,"")</x:f>
        <x:v>10.606282181668186</x:v>
      </x:c>
      <x:c r="E15" s="88" t="str">
        <x:f>'SSI Kmax'!O20</x:f>
        <x:v>Yes</x:v>
      </x:c>
      <x:c r="F15" s="88" t="str">
        <x:f>'SSI Kmax'!P20</x:f>
        <x:v>No</x:v>
      </x:c>
      <x:c r="G15" s="87" t="n">
        <x:f>IF(ISNUMBER('SSI Kmax'!N20),'SSI Kmax'!N20,"")</x:f>
        <x:v>1084.0115568792044</x:v>
      </x:c>
      <x:c r="H15" s="87" t="n">
        <x:f>IF('SSI Kmax'!Q20="","",'SSI Kmax'!Q20)</x:f>
        <x:v>108.40115568792044</x:v>
      </x:c>
      <x:c r="I15" s="89" t="n">
        <x:f>IF('SSI Kmax'!R20="","",'SSI Kmax'!R20)</x:f>
        <x:v>108.40115568792044</x:v>
      </x:c>
      <x:c r="K15" s="14" t="str">
        <x:f>IF(A15="Not supplied","Case "&amp;B15,A15&amp;" ("&amp;B15&amp;")")</x:f>
        <x:v>Case V</x:v>
      </x:c>
      <x:c r="L15" s="65" t="n">
        <x:f>IF(ISNUMBER(D15),D15,"")</x:f>
        <x:v>10.606282181668186</x:v>
      </x:c>
      <x:c r="M15" s="65" t="n">
        <x:f>IF(ISNUMBER(G15),G15,"")</x:f>
        <x:v>1084.0115568792044</x:v>
      </x:c>
      <x:c r="N15" s="65" t="n">
        <x:f>IF(ISNUMBER(H15),H15,"")</x:f>
        <x:v>108.40115568792044</x:v>
      </x:c>
      <x:c r="O15" s="65" t="n">
        <x:f>IF(ISNUMBER(I15),I15,"")</x:f>
        <x:v>108.40115568792044</x:v>
      </x:c>
    </x:row>
    <x:row r="16" ht="25" customHeight="1">
      <x:c r="A16" s="15" t="str">
        <x:f>IF(OR('SSI Kmax'!T21="",'SSI Kmax'!T21="—"),"Not supplied",'SSI Kmax'!T21)</x:f>
        <x:v>Not supplied</x:v>
      </x:c>
      <x:c r="B16" s="15" t="str">
        <x:f>'SSI Kmax'!A21</x:f>
        <x:v>W</x:v>
      </x:c>
      <x:c r="C16" s="25" t="n">
        <x:f>'SSI Kmax'!D21</x:f>
        <x:v>72.28915662650601</x:v>
      </x:c>
      <x:c r="D16" s="25" t="n">
        <x:f>IF(ISNUMBER('SSI Kmax'!E21),'SSI Kmax'!E21,"")</x:f>
        <x:v>9.497271671118982</x:v>
      </x:c>
      <x:c r="E16" s="88" t="str">
        <x:f>'SSI Kmax'!O21</x:f>
        <x:v>Yes</x:v>
      </x:c>
      <x:c r="F16" s="88" t="str">
        <x:f>'SSI Kmax'!P21</x:f>
        <x:v>No</x:v>
      </x:c>
      <x:c r="G16" s="87" t="n">
        <x:f>IF(ISNUMBER('SSI Kmax'!N21),'SSI Kmax'!N21,"")</x:f>
        <x:v>1372.6525124420355</x:v>
      </x:c>
      <x:c r="H16" s="87" t="n">
        <x:f>IF('SSI Kmax'!Q21="","",'SSI Kmax'!Q21)</x:f>
        <x:v>137.26525124420354</x:v>
      </x:c>
      <x:c r="I16" s="89" t="n">
        <x:f>IF('SSI Kmax'!R21="","",'SSI Kmax'!R21)</x:f>
        <x:v>137.26525124420354</x:v>
      </x:c>
      <x:c r="K16" s="14" t="str">
        <x:f>IF(A16="Not supplied","Case "&amp;B16,A16&amp;" ("&amp;B16&amp;")")</x:f>
        <x:v>Case W</x:v>
      </x:c>
      <x:c r="L16" s="65" t="n">
        <x:f>IF(ISNUMBER(D16),D16,"")</x:f>
        <x:v>9.497271671118982</x:v>
      </x:c>
      <x:c r="M16" s="65" t="n">
        <x:f>IF(ISNUMBER(G16),G16,"")</x:f>
        <x:v>1372.6525124420355</x:v>
      </x:c>
      <x:c r="N16" s="65" t="n">
        <x:f>IF(ISNUMBER(H16),H16,"")</x:f>
        <x:v>137.26525124420354</x:v>
      </x:c>
      <x:c r="O16" s="65" t="n">
        <x:f>IF(ISNUMBER(I16),I16,"")</x:f>
        <x:v>137.26525124420354</x:v>
      </x:c>
    </x:row>
    <x:row r="17" ht="25" customHeight="1">
      <x:c r="A17" s="15" t="str">
        <x:f>IF(OR('SSI Kmax'!T22="",'SSI Kmax'!T22="—"),"Not supplied",'SSI Kmax'!T22)</x:f>
        <x:v>Not supplied</x:v>
      </x:c>
      <x:c r="B17" s="15" t="str">
        <x:f>'SSI Kmax'!A22</x:f>
        <x:v>X</x:v>
      </x:c>
      <x:c r="C17" s="25" t="n">
        <x:f>'SSI Kmax'!D22</x:f>
        <x:v>73.39449541284404</x:v>
      </x:c>
      <x:c r="D17" s="25" t="n">
        <x:f>IF(ISNUMBER('SSI Kmax'!E22),'SSI Kmax'!E22,"")</x:f>
        <x:v>9.939621673248476</x:v>
      </x:c>
      <x:c r="E17" s="88" t="str">
        <x:f>'SSI Kmax'!O22</x:f>
        <x:v>Yes</x:v>
      </x:c>
      <x:c r="F17" s="88" t="str">
        <x:f>'SSI Kmax'!P22</x:f>
        <x:v>No</x:v>
      </x:c>
      <x:c r="G17" s="87" t="n">
        <x:f>IF(ISNUMBER('SSI Kmax'!N22),'SSI Kmax'!N22,"")</x:f>
        <x:v>1253.561706686732</x:v>
      </x:c>
      <x:c r="H17" s="87" t="n">
        <x:f>IF('SSI Kmax'!Q22="","",'SSI Kmax'!Q22)</x:f>
        <x:v>125.35617066867319</x:v>
      </x:c>
      <x:c r="I17" s="89" t="n">
        <x:f>IF('SSI Kmax'!R22="","",'SSI Kmax'!R22)</x:f>
        <x:v>125.35617066867319</x:v>
      </x:c>
      <x:c r="K17" s="14" t="str">
        <x:f>IF(A17="Not supplied","Case "&amp;B17,A17&amp;" ("&amp;B17&amp;")")</x:f>
        <x:v>Case X</x:v>
      </x:c>
      <x:c r="L17" s="65" t="n">
        <x:f>IF(ISNUMBER(D17),D17,"")</x:f>
        <x:v>9.939621673248476</x:v>
      </x:c>
      <x:c r="M17" s="65" t="n">
        <x:f>IF(ISNUMBER(G17),G17,"")</x:f>
        <x:v>1253.561706686732</x:v>
      </x:c>
      <x:c r="N17" s="65" t="n">
        <x:f>IF(ISNUMBER(H17),H17,"")</x:f>
        <x:v>125.35617066867319</x:v>
      </x:c>
      <x:c r="O17" s="65" t="n">
        <x:f>IF(ISNUMBER(I17),I17,"")</x:f>
        <x:v>125.35617066867319</x:v>
      </x:c>
    </x:row>
    <x:row r="18" ht="25" customHeight="1">
      <x:c r="A18" s="15" t="str">
        <x:f>IF(OR('SSI Kmax'!T23="",'SSI Kmax'!T23="—"),"Not supplied",'SSI Kmax'!T23)</x:f>
        <x:v>Not supplied</x:v>
      </x:c>
      <x:c r="B18" s="15" t="str">
        <x:f>'SSI Kmax'!A23</x:f>
        <x:v>Y</x:v>
      </x:c>
      <x:c r="C18" s="25" t="n">
        <x:f>'SSI Kmax'!D23</x:f>
        <x:v>74.53416149068323</x:v>
      </x:c>
      <x:c r="D18" s="25" t="n">
        <x:f>IF(ISNUMBER('SSI Kmax'!E23),'SSI Kmax'!E23,"")</x:f>
        <x:v>10.409874584556587</x:v>
      </x:c>
      <x:c r="E18" s="88" t="str">
        <x:f>'SSI Kmax'!O23</x:f>
        <x:v>Yes</x:v>
      </x:c>
      <x:c r="F18" s="88" t="str">
        <x:f>'SSI Kmax'!P23</x:f>
        <x:v>No</x:v>
      </x:c>
      <x:c r="G18" s="87" t="n">
        <x:f>IF(ISNUMBER('SSI Kmax'!N23),'SSI Kmax'!N23,"")</x:f>
        <x:v>1130.3993443320978</x:v>
      </x:c>
      <x:c r="H18" s="87" t="n">
        <x:f>IF('SSI Kmax'!Q23="","",'SSI Kmax'!Q23)</x:f>
        <x:v>113.03993443320978</x:v>
      </x:c>
      <x:c r="I18" s="89" t="n">
        <x:f>IF('SSI Kmax'!R23="","",'SSI Kmax'!R23)</x:f>
        <x:v>113.03993443320978</x:v>
      </x:c>
      <x:c r="K18" s="14" t="str">
        <x:f>IF(A18="Not supplied","Case "&amp;B18,A18&amp;" ("&amp;B18&amp;")")</x:f>
        <x:v>Case Y</x:v>
      </x:c>
      <x:c r="L18" s="65" t="n">
        <x:f>IF(ISNUMBER(D18),D18,"")</x:f>
        <x:v>10.409874584556587</x:v>
      </x:c>
      <x:c r="M18" s="65" t="n">
        <x:f>IF(ISNUMBER(G18),G18,"")</x:f>
        <x:v>1130.3993443320978</x:v>
      </x:c>
      <x:c r="N18" s="65" t="n">
        <x:f>IF(ISNUMBER(H18),H18,"")</x:f>
        <x:v>113.03993443320978</x:v>
      </x:c>
      <x:c r="O18" s="65" t="n">
        <x:f>IF(ISNUMBER(I18),I18,"")</x:f>
        <x:v>113.03993443320978</x:v>
      </x:c>
    </x:row>
    <x:row r="19" ht="25" customHeight="1">
      <x:c r="A19" s="15" t="str">
        <x:f>IF(OR('SSI Kmax'!T24="",'SSI Kmax'!T24="—"),"Not supplied",'SSI Kmax'!T24)</x:f>
        <x:v>Not supplied</x:v>
      </x:c>
      <x:c r="B19" s="15" t="str">
        <x:f>'SSI Kmax'!A24</x:f>
        <x:v>Z</x:v>
      </x:c>
      <x:c r="C19" s="25" t="n">
        <x:f>'SSI Kmax'!D24</x:f>
        <x:v>57.279236276849645</x:v>
      </x:c>
      <x:c r="D19" s="25" t="n">
        <x:f>IF(ISNUMBER('SSI Kmax'!E24),'SSI Kmax'!E24,"")</x:f>
        <x:v>4.724665249777779</x:v>
      </x:c>
      <x:c r="E19" s="88" t="str">
        <x:f>'SSI Kmax'!O24</x:f>
        <x:v>Yes</x:v>
      </x:c>
      <x:c r="F19" s="88" t="str">
        <x:f>'SSI Kmax'!P24</x:f>
        <x:v>No</x:v>
      </x:c>
      <x:c r="G19" s="87" t="n">
        <x:f>IF(ISNUMBER('SSI Kmax'!N24),'SSI Kmax'!N24,"")</x:f>
        <x:v>1740.6049096172444</x:v>
      </x:c>
      <x:c r="H19" s="87" t="n">
        <x:f>IF('SSI Kmax'!Q24="","",'SSI Kmax'!Q24)</x:f>
        <x:v>174.06049096172444</x:v>
      </x:c>
      <x:c r="I19" s="89" t="n">
        <x:f>IF('SSI Kmax'!R24="","",'SSI Kmax'!R24)</x:f>
        <x:v>174.06049096172444</x:v>
      </x:c>
      <x:c r="K19" s="14" t="str">
        <x:f>IF(A19="Not supplied","Case "&amp;B19,A19&amp;" ("&amp;B19&amp;")")</x:f>
        <x:v>Case Z</x:v>
      </x:c>
      <x:c r="L19" s="65" t="n">
        <x:f>IF(ISNUMBER(D19),D19,"")</x:f>
        <x:v>4.724665249777779</x:v>
      </x:c>
      <x:c r="M19" s="65" t="n">
        <x:f>IF(ISNUMBER(G19),G19,"")</x:f>
        <x:v>1740.6049096172444</x:v>
      </x:c>
      <x:c r="N19" s="65" t="n">
        <x:f>IF(ISNUMBER(H19),H19,"")</x:f>
        <x:v>174.06049096172444</x:v>
      </x:c>
      <x:c r="O19" s="65" t="n">
        <x:f>IF(ISNUMBER(I19),I19,"")</x:f>
        <x:v>174.06049096172444</x:v>
      </x:c>
    </x:row>
    <x:row r="20" ht="25" customHeight="1">
      <x:c r="A20" s="15" t="str">
        <x:f>IF(OR('SSI Kmax'!T25="",'SSI Kmax'!T25="—"),"Not supplied",'SSI Kmax'!T25)</x:f>
        <x:v>Not supplied</x:v>
      </x:c>
      <x:c r="B20" s="15" t="str">
        <x:f>'SSI Kmax'!A25</x:f>
        <x:v>AA</x:v>
      </x:c>
      <x:c r="C20" s="25" t="n">
        <x:f>'SSI Kmax'!D25</x:f>
        <x:v>71.42857142857143</x:v>
      </x:c>
      <x:c r="D20" s="25" t="n">
        <x:f>IF(ISNUMBER('SSI Kmax'!E25),'SSI Kmax'!E25,"")</x:f>
        <x:v>9.162105329159433</x:v>
      </x:c>
      <x:c r="E20" s="88" t="str">
        <x:f>'SSI Kmax'!O25</x:f>
        <x:v>Yes</x:v>
      </x:c>
      <x:c r="F20" s="88" t="str">
        <x:f>'SSI Kmax'!P25</x:f>
        <x:v>No</x:v>
      </x:c>
      <x:c r="G20" s="87" t="n">
        <x:f>IF(ISNUMBER('SSI Kmax'!N25),'SSI Kmax'!N25,"")</x:f>
        <x:v>1426.9555821183833</x:v>
      </x:c>
      <x:c r="H20" s="87" t="n">
        <x:f>IF('SSI Kmax'!Q25="","",'SSI Kmax'!Q25)</x:f>
        <x:v>142.69555821183832</x:v>
      </x:c>
      <x:c r="I20" s="89" t="n">
        <x:f>IF('SSI Kmax'!R25="","",'SSI Kmax'!R25)</x:f>
        <x:v>142.69555821183832</x:v>
      </x:c>
      <x:c r="K20" s="14" t="str">
        <x:f>IF(A20="Not supplied","Case "&amp;B20,A20&amp;" ("&amp;B20&amp;")")</x:f>
        <x:v>Case AA</x:v>
      </x:c>
      <x:c r="L20" s="65" t="n">
        <x:f>IF(ISNUMBER(D20),D20,"")</x:f>
        <x:v>9.162105329159433</x:v>
      </x:c>
      <x:c r="M20" s="65" t="n">
        <x:f>IF(ISNUMBER(G20),G20,"")</x:f>
        <x:v>1426.9555821183833</x:v>
      </x:c>
      <x:c r="N20" s="65" t="n">
        <x:f>IF(ISNUMBER(H20),H20,"")</x:f>
        <x:v>142.69555821183832</x:v>
      </x:c>
      <x:c r="O20" s="65" t="n">
        <x:f>IF(ISNUMBER(I20),I20,"")</x:f>
        <x:v>142.69555821183832</x:v>
      </x:c>
    </x:row>
    <x:row r="21" ht="25" customHeight="1">
      <x:c r="A21" s="15" t="str">
        <x:f>IF(OR('SSI Kmax'!T26="",'SSI Kmax'!T26="—"),"Not supplied",'SSI Kmax'!T26)</x:f>
        <x:v>Not supplied</x:v>
      </x:c>
      <x:c r="B21" s="15" t="str">
        <x:f>'SSI Kmax'!A26</x:f>
        <x:v>AB</x:v>
      </x:c>
      <x:c r="C21" s="25" t="n">
        <x:f>'SSI Kmax'!D26</x:f>
        <x:v>73.17073170731707</x:v>
      </x:c>
      <x:c r="D21" s="25" t="n">
        <x:f>IF(ISNUMBER('SSI Kmax'!E26),'SSI Kmax'!E26,"")</x:f>
        <x:v>9.848987385945705</x:v>
      </x:c>
      <x:c r="E21" s="88" t="str">
        <x:f>'SSI Kmax'!O26</x:f>
        <x:v>Yes</x:v>
      </x:c>
      <x:c r="F21" s="88" t="str">
        <x:f>'SSI Kmax'!P26</x:f>
        <x:v>No</x:v>
      </x:c>
      <x:c r="G21" s="87" t="n">
        <x:f>IF(ISNUMBER('SSI Kmax'!N26),'SSI Kmax'!N26,"")</x:f>
        <x:v>1279.4751907368593</x:v>
      </x:c>
      <x:c r="H21" s="87" t="n">
        <x:f>IF('SSI Kmax'!Q26="","",'SSI Kmax'!Q26)</x:f>
        <x:v>127.94751907368592</x:v>
      </x:c>
      <x:c r="I21" s="89" t="n">
        <x:f>IF('SSI Kmax'!R26="","",'SSI Kmax'!R26)</x:f>
        <x:v>127.94751907368592</x:v>
      </x:c>
      <x:c r="K21" s="14" t="str">
        <x:f>IF(A21="Not supplied","Case "&amp;B21,A21&amp;" ("&amp;B21&amp;")")</x:f>
        <x:v>Case AB</x:v>
      </x:c>
      <x:c r="L21" s="65" t="n">
        <x:f>IF(ISNUMBER(D21),D21,"")</x:f>
        <x:v>9.848987385945705</x:v>
      </x:c>
      <x:c r="M21" s="65" t="n">
        <x:f>IF(ISNUMBER(G21),G21,"")</x:f>
        <x:v>1279.4751907368593</x:v>
      </x:c>
      <x:c r="N21" s="65" t="n">
        <x:f>IF(ISNUMBER(H21),H21,"")</x:f>
        <x:v>127.94751907368592</x:v>
      </x:c>
      <x:c r="O21" s="65" t="n">
        <x:f>IF(ISNUMBER(I21),I21,"")</x:f>
        <x:v>127.94751907368592</x:v>
      </x:c>
    </x:row>
    <x:row r="22" ht="25" customHeight="1">
      <x:c r="A22" s="15" t="str">
        <x:f>IF(OR('SSI Kmax'!T27="",'SSI Kmax'!T27="—"),"Not supplied",'SSI Kmax'!T27)</x:f>
        <x:v>Not supplied</x:v>
      </x:c>
      <x:c r="B22" s="15" t="str">
        <x:f>'SSI Kmax'!A27</x:f>
        <x:v>AC</x:v>
      </x:c>
      <x:c r="C22" s="25" t="n">
        <x:f>'SSI Kmax'!D27</x:f>
        <x:v>69.56521739130436</x:v>
      </x:c>
      <x:c r="D22" s="25" t="n">
        <x:f>IF(ISNUMBER('SSI Kmax'!E27),'SSI Kmax'!E27,"")</x:f>
        <x:v>8.463613588155047</x:v>
      </x:c>
      <x:c r="E22" s="88" t="str">
        <x:f>'SSI Kmax'!O27</x:f>
        <x:v>Yes</x:v>
      </x:c>
      <x:c r="F22" s="88" t="str">
        <x:f>'SSI Kmax'!P27</x:f>
        <x:v>No</x:v>
      </x:c>
      <x:c r="G22" s="87" t="n">
        <x:f>IF(ISNUMBER('SSI Kmax'!N27),'SSI Kmax'!N27,"")</x:f>
        <x:v>1554.6822811049972</x:v>
      </x:c>
      <x:c r="H22" s="87" t="n">
        <x:f>IF('SSI Kmax'!Q27="","",'SSI Kmax'!Q27)</x:f>
        <x:v>155.46822811049972</x:v>
      </x:c>
      <x:c r="I22" s="89" t="n">
        <x:f>IF('SSI Kmax'!R27="","",'SSI Kmax'!R27)</x:f>
        <x:v>155.46822811049972</x:v>
      </x:c>
      <x:c r="K22" s="14" t="str">
        <x:f>IF(A22="Not supplied","Case "&amp;B22,A22&amp;" ("&amp;B22&amp;")")</x:f>
        <x:v>Case AC</x:v>
      </x:c>
      <x:c r="L22" s="65" t="n">
        <x:f>IF(ISNUMBER(D22),D22,"")</x:f>
        <x:v>8.463613588155047</x:v>
      </x:c>
      <x:c r="M22" s="65" t="n">
        <x:f>IF(ISNUMBER(G22),G22,"")</x:f>
        <x:v>1554.6822811049972</x:v>
      </x:c>
      <x:c r="N22" s="65" t="n">
        <x:f>IF(ISNUMBER(H22),H22,"")</x:f>
        <x:v>155.46822811049972</x:v>
      </x:c>
      <x:c r="O22" s="65" t="n">
        <x:f>IF(ISNUMBER(I22),I22,"")</x:f>
        <x:v>155.46822811049972</x:v>
      </x:c>
    </x:row>
    <x:row r="23" ht="25" customHeight="1">
      <x:c r="A23" s="15" t="str">
        <x:f>IF(OR('SSI Kmax'!T28="",'SSI Kmax'!T28="—"),"Not supplied",'SSI Kmax'!T28)</x:f>
        <x:v>Not supplied</x:v>
      </x:c>
      <x:c r="B23" s="15" t="str">
        <x:f>'SSI Kmax'!A28</x:f>
        <x:v>AD</x:v>
      </x:c>
      <x:c r="C23" s="25" t="n">
        <x:f>'SSI Kmax'!D28</x:f>
        <x:v>63.492063492063494</x:v>
      </x:c>
      <x:c r="D23" s="25" t="n">
        <x:f>IF(ISNUMBER('SSI Kmax'!E28),'SSI Kmax'!E28,"")</x:f>
        <x:v>6.4348394081339215</x:v>
      </x:c>
      <x:c r="E23" s="88" t="str">
        <x:f>'SSI Kmax'!O28</x:f>
        <x:v>Yes</x:v>
      </x:c>
      <x:c r="F23" s="88" t="str">
        <x:f>'SSI Kmax'!P28</x:f>
        <x:v>No</x:v>
      </x:c>
      <x:c r="G23" s="87" t="n">
        <x:f>IF(ISNUMBER('SSI Kmax'!N28),'SSI Kmax'!N28,"")</x:f>
        <x:v>1189.3697668217003</x:v>
      </x:c>
      <x:c r="H23" s="87" t="n">
        <x:f>IF('SSI Kmax'!Q28="","",'SSI Kmax'!Q28)</x:f>
        <x:v>118.93697668217003</x:v>
      </x:c>
      <x:c r="I23" s="89" t="n">
        <x:f>IF('SSI Kmax'!R28="","",'SSI Kmax'!R28)</x:f>
        <x:v>118.93697668217003</x:v>
      </x:c>
      <x:c r="K23" s="14" t="str">
        <x:f>IF(A23="Not supplied","Case "&amp;B23,A23&amp;" ("&amp;B23&amp;")")</x:f>
        <x:v>Case AD</x:v>
      </x:c>
      <x:c r="L23" s="65" t="n">
        <x:f>IF(ISNUMBER(D23),D23,"")</x:f>
        <x:v>6.4348394081339215</x:v>
      </x:c>
      <x:c r="M23" s="65" t="n">
        <x:f>IF(ISNUMBER(G23),G23,"")</x:f>
        <x:v>1189.3697668217003</x:v>
      </x:c>
      <x:c r="N23" s="65" t="n">
        <x:f>IF(ISNUMBER(H23),H23,"")</x:f>
        <x:v>118.93697668217003</x:v>
      </x:c>
      <x:c r="O23" s="65" t="n">
        <x:f>IF(ISNUMBER(I23),I23,"")</x:f>
        <x:v>118.93697668217003</x:v>
      </x:c>
    </x:row>
    <x:row r="24" ht="25" customHeight="1">
      <x:c r="A24" s="15" t="str">
        <x:f>IF(OR('SSI Kmax'!T29="",'SSI Kmax'!T29="—"),"Not supplied",'SSI Kmax'!T29)</x:f>
        <x:v>Not supplied</x:v>
      </x:c>
      <x:c r="B24" s="15" t="str">
        <x:f>'SSI Kmax'!A29</x:f>
        <x:v>AE</x:v>
      </x:c>
      <x:c r="C24" s="25" t="n">
        <x:f>'SSI Kmax'!D29</x:f>
        <x:v>60.6060606060606</x:v>
      </x:c>
      <x:c r="D24" s="25" t="n">
        <x:f>IF(ISNUMBER('SSI Kmax'!E29),'SSI Kmax'!E29,"")</x:f>
        <x:v>5.596642351495889</x:v>
      </x:c>
      <x:c r="E24" s="88" t="str">
        <x:f>'SSI Kmax'!O29</x:f>
        <x:v>Yes</x:v>
      </x:c>
      <x:c r="F24" s="88" t="str">
        <x:f>'SSI Kmax'!P29</x:f>
        <x:v>No</x:v>
      </x:c>
      <x:c r="G24" s="87" t="n">
        <x:f>IF(ISNUMBER('SSI Kmax'!N29),'SSI Kmax'!N29,"")</x:f>
        <x:v>1411.3471625777859</x:v>
      </x:c>
      <x:c r="H24" s="87" t="n">
        <x:f>IF('SSI Kmax'!Q29="","",'SSI Kmax'!Q29)</x:f>
        <x:v>141.1347162577786</x:v>
      </x:c>
      <x:c r="I24" s="89" t="n">
        <x:f>IF('SSI Kmax'!R29="","",'SSI Kmax'!R29)</x:f>
        <x:v>141.1347162577786</x:v>
      </x:c>
      <x:c r="K24" s="14" t="str">
        <x:f>IF(A24="Not supplied","Case "&amp;B24,A24&amp;" ("&amp;B24&amp;")")</x:f>
        <x:v>Case AE</x:v>
      </x:c>
      <x:c r="L24" s="65" t="n">
        <x:f>IF(ISNUMBER(D24),D24,"")</x:f>
        <x:v>5.596642351495889</x:v>
      </x:c>
      <x:c r="M24" s="65" t="n">
        <x:f>IF(ISNUMBER(G24),G24,"")</x:f>
        <x:v>1411.3471625777859</x:v>
      </x:c>
      <x:c r="N24" s="65" t="n">
        <x:f>IF(ISNUMBER(H24),H24,"")</x:f>
        <x:v>141.1347162577786</x:v>
      </x:c>
      <x:c r="O24" s="65" t="n">
        <x:f>IF(ISNUMBER(I24),I24,"")</x:f>
        <x:v>141.1347162577786</x:v>
      </x:c>
    </x:row>
    <x:row r="25" ht="25" customHeight="1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 ht="25" customHeight="1">
      <x:c r="A26" s="15" t="str">
        <x:v>Change dent IDs, weld/metal-loss flags and DWML inputs on SSI Kmax; pressure-cycle inputs are on Pressure Cycling.</x:v>
      </x:c>
      <x:c r="B26" s="15"/>
      <x:c r="C26" s="15"/>
      <x:c r="D26" s="15"/>
      <x:c r="E26" s="15"/>
      <x:c r="F26" s="15"/>
      <x:c r="G26" s="15"/>
      <x:c r="H26" s="15"/>
      <x:c r="I26" s="15"/>
    </x:row>
    <x:row r="27" ht="25" customHeight="1">
      <x:c r="A27" s="15" t="str">
        <x:v>Weld Yes applies ÷10. Metal loss Yes applies ÷RFLTA. No applies a divisor of 1. All summary values are linked.</x:v>
      </x:c>
      <x:c r="B27" s="15"/>
      <x:c r="C27" s="15"/>
      <x:c r="D27" s="15"/>
      <x:c r="E27" s="15"/>
      <x:c r="F27" s="15"/>
      <x:c r="G27" s="15"/>
      <x:c r="H27" s="15"/>
      <x:c r="I27" s="15"/>
    </x:row>
    <x:row r="28" ht="25" customHeight="1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4" t="str">
        <x:v>Charts use the current sample / actual inputs and Yes/No selections. Case labels identify dents without a supplied ID.</x:v>
      </x:c>
    </x:row>
  </x:sheetData>
  <x:conditionalFormatting sqref="I7:I24">
    <x:cfRule type="containsText" dxfId="4" priority="1" operator="containsText" text="Missing"/>
  </x:conditionalFormatting>
  <x:conditionalFormatting sqref="H7:I24">
    <x:cfRule type="containsText" dxfId="5" priority="2" operator="containsText" text="Select"/>
  </x:conditionalFormatting>
  <x:pageMargins left="0.7" right="0.7" top="0.75" bottom="0.75" header="0.3" footer="0.3"/>
  <x:drawing xmlns:r="http://schemas.openxmlformats.org/officeDocument/2006/relationships" r:id="R1aeaa1f4d1734901"/>
</x:worksheet>
</file>