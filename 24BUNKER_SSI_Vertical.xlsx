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azza\PycharmProjects\API 1183 - Dent Screening Macro Development\"/>
    </mc:Choice>
  </mc:AlternateContent>
  <xr:revisionPtr revIDLastSave="0" documentId="11_F0603575435F93842BFDE011AE2DE8054CF4168C" xr6:coauthVersionLast="47" xr6:coauthVersionMax="47" xr10:uidLastSave="{00000000-0000-0000-0000-000000000000}"/>
  <bookViews>
    <workbookView xWindow="20370" yWindow="-2955" windowWidth="29040" windowHeight="15720" xr2:uid="{00000000-000D-0000-FFFF-FFFF00000000}"/>
  </bookViews>
  <sheets>
    <sheet name="SSI Kma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D28" i="1"/>
  <c r="D27" i="1"/>
  <c r="D26" i="1"/>
  <c r="H25" i="1"/>
  <c r="K25" i="1" s="1"/>
  <c r="G25" i="1"/>
  <c r="J25" i="1" s="1"/>
  <c r="D25" i="1"/>
  <c r="F25" i="1" s="1"/>
  <c r="I25" i="1" s="1"/>
  <c r="L25" i="1" s="1"/>
  <c r="D24" i="1"/>
  <c r="D23" i="1"/>
  <c r="D22" i="1"/>
  <c r="D21" i="1"/>
  <c r="D20" i="1"/>
  <c r="D19" i="1"/>
  <c r="V18" i="1"/>
  <c r="W18" i="1" s="1"/>
  <c r="D18" i="1"/>
  <c r="D17" i="1"/>
  <c r="D16" i="1"/>
  <c r="D15" i="1"/>
  <c r="D14" i="1"/>
  <c r="D13" i="1"/>
  <c r="D12" i="1"/>
  <c r="G8" i="1"/>
  <c r="B8" i="1"/>
  <c r="K7" i="1"/>
  <c r="K6" i="1"/>
  <c r="G6" i="1"/>
  <c r="K5" i="1"/>
  <c r="B5" i="1"/>
  <c r="B7" i="1" s="1"/>
  <c r="H29" i="1" l="1"/>
  <c r="K29" i="1" s="1"/>
  <c r="G29" i="1"/>
  <c r="J29" i="1" s="1"/>
  <c r="F29" i="1"/>
  <c r="I29" i="1" s="1"/>
  <c r="L29" i="1" s="1"/>
  <c r="G28" i="1"/>
  <c r="J28" i="1" s="1"/>
  <c r="H28" i="1"/>
  <c r="K28" i="1" s="1"/>
  <c r="F28" i="1"/>
  <c r="I28" i="1" s="1"/>
  <c r="L28" i="1" s="1"/>
  <c r="H27" i="1"/>
  <c r="K27" i="1" s="1"/>
  <c r="G27" i="1"/>
  <c r="J27" i="1" s="1"/>
  <c r="F27" i="1"/>
  <c r="I27" i="1" s="1"/>
  <c r="L27" i="1" s="1"/>
  <c r="H26" i="1"/>
  <c r="K26" i="1" s="1"/>
  <c r="G26" i="1"/>
  <c r="J26" i="1" s="1"/>
  <c r="F26" i="1"/>
  <c r="I26" i="1" s="1"/>
  <c r="L26" i="1" s="1"/>
  <c r="M25" i="1"/>
  <c r="N25" i="1"/>
  <c r="O25" i="1" s="1"/>
  <c r="H24" i="1"/>
  <c r="K24" i="1" s="1"/>
  <c r="G24" i="1"/>
  <c r="J24" i="1" s="1"/>
  <c r="F24" i="1"/>
  <c r="I24" i="1" s="1"/>
  <c r="L24" i="1" s="1"/>
  <c r="H23" i="1"/>
  <c r="K23" i="1" s="1"/>
  <c r="G23" i="1"/>
  <c r="J23" i="1" s="1"/>
  <c r="F23" i="1"/>
  <c r="I23" i="1" s="1"/>
  <c r="L23" i="1" s="1"/>
  <c r="G22" i="1"/>
  <c r="J22" i="1" s="1"/>
  <c r="F22" i="1"/>
  <c r="I22" i="1" s="1"/>
  <c r="H22" i="1"/>
  <c r="K22" i="1" s="1"/>
  <c r="F21" i="1"/>
  <c r="I21" i="1" s="1"/>
  <c r="G21" i="1"/>
  <c r="J21" i="1" s="1"/>
  <c r="H21" i="1"/>
  <c r="K21" i="1" s="1"/>
  <c r="F20" i="1"/>
  <c r="I20" i="1" s="1"/>
  <c r="G20" i="1"/>
  <c r="J20" i="1" s="1"/>
  <c r="H20" i="1"/>
  <c r="K20" i="1" s="1"/>
  <c r="H19" i="1"/>
  <c r="K19" i="1" s="1"/>
  <c r="G19" i="1"/>
  <c r="J19" i="1" s="1"/>
  <c r="F19" i="1"/>
  <c r="I19" i="1" s="1"/>
  <c r="L19" i="1" s="1"/>
  <c r="G18" i="1"/>
  <c r="J18" i="1" s="1"/>
  <c r="F18" i="1"/>
  <c r="I18" i="1" s="1"/>
  <c r="L18" i="1" s="1"/>
  <c r="H18" i="1"/>
  <c r="K18" i="1" s="1"/>
  <c r="G17" i="1"/>
  <c r="J17" i="1" s="1"/>
  <c r="F17" i="1"/>
  <c r="I17" i="1" s="1"/>
  <c r="L17" i="1" s="1"/>
  <c r="H17" i="1"/>
  <c r="K17" i="1" s="1"/>
  <c r="F16" i="1"/>
  <c r="I16" i="1" s="1"/>
  <c r="H16" i="1"/>
  <c r="K16" i="1" s="1"/>
  <c r="G16" i="1"/>
  <c r="J16" i="1" s="1"/>
  <c r="H15" i="1"/>
  <c r="K15" i="1" s="1"/>
  <c r="G15" i="1"/>
  <c r="J15" i="1" s="1"/>
  <c r="F15" i="1"/>
  <c r="I15" i="1" s="1"/>
  <c r="L15" i="1" s="1"/>
  <c r="H14" i="1"/>
  <c r="K14" i="1" s="1"/>
  <c r="F14" i="1"/>
  <c r="I14" i="1" s="1"/>
  <c r="G14" i="1"/>
  <c r="J14" i="1" s="1"/>
  <c r="H13" i="1"/>
  <c r="K13" i="1" s="1"/>
  <c r="G13" i="1"/>
  <c r="J13" i="1" s="1"/>
  <c r="F13" i="1"/>
  <c r="I13" i="1" s="1"/>
  <c r="L13" i="1" s="1"/>
  <c r="G12" i="1"/>
  <c r="J12" i="1" s="1"/>
  <c r="H12" i="1"/>
  <c r="K12" i="1" s="1"/>
  <c r="F12" i="1"/>
  <c r="I12" i="1" s="1"/>
  <c r="L12" i="1" s="1"/>
  <c r="L7" i="1"/>
  <c r="L6" i="1"/>
  <c r="L5" i="1"/>
  <c r="M29" i="1" l="1"/>
  <c r="N29" i="1"/>
  <c r="O29" i="1" s="1"/>
  <c r="M28" i="1"/>
  <c r="N28" i="1"/>
  <c r="O28" i="1" s="1"/>
  <c r="M27" i="1"/>
  <c r="N27" i="1"/>
  <c r="O27" i="1" s="1"/>
  <c r="M26" i="1"/>
  <c r="N26" i="1"/>
  <c r="O26" i="1" s="1"/>
  <c r="M24" i="1"/>
  <c r="N24" i="1"/>
  <c r="O24" i="1" s="1"/>
  <c r="M23" i="1"/>
  <c r="N23" i="1"/>
  <c r="O23" i="1" s="1"/>
  <c r="M19" i="1"/>
  <c r="N19" i="1"/>
  <c r="O19" i="1" s="1"/>
  <c r="N18" i="1"/>
  <c r="O18" i="1" s="1"/>
  <c r="P18" i="1" s="1"/>
  <c r="M18" i="1"/>
  <c r="M17" i="1"/>
  <c r="N17" i="1"/>
  <c r="O17" i="1" s="1"/>
  <c r="M15" i="1"/>
  <c r="N15" i="1"/>
  <c r="O15" i="1" s="1"/>
  <c r="N13" i="1"/>
  <c r="O13" i="1" s="1"/>
  <c r="M13" i="1"/>
  <c r="N12" i="1"/>
  <c r="O12" i="1" s="1"/>
  <c r="M12" i="1"/>
  <c r="L20" i="1"/>
  <c r="L22" i="1"/>
  <c r="L21" i="1"/>
  <c r="L16" i="1"/>
  <c r="L14" i="1"/>
  <c r="N20" i="1" l="1"/>
  <c r="O20" i="1" s="1"/>
  <c r="M20" i="1"/>
  <c r="N22" i="1"/>
  <c r="O22" i="1" s="1"/>
  <c r="M22" i="1"/>
  <c r="N21" i="1"/>
  <c r="O21" i="1" s="1"/>
  <c r="M21" i="1"/>
  <c r="M16" i="1"/>
  <c r="N16" i="1"/>
  <c r="O16" i="1" s="1"/>
  <c r="M14" i="1"/>
  <c r="N14" i="1"/>
  <c r="O14" i="1" s="1"/>
</calcChain>
</file>

<file path=xl/sharedStrings.xml><?xml version="1.0" encoding="utf-8"?>
<sst xmlns="http://schemas.openxmlformats.org/spreadsheetml/2006/main" count="94" uniqueCount="68">
  <si>
    <t>API 1183 - Dent Screening Level 2</t>
  </si>
  <si>
    <t>MOP</t>
  </si>
  <si>
    <t>psi</t>
  </si>
  <si>
    <t>Year of construction</t>
  </si>
  <si>
    <t>MOP (Stress)</t>
  </si>
  <si>
    <t>DWML Reduction Factor</t>
  </si>
  <si>
    <t>SMYS for dents to be assessed</t>
  </si>
  <si>
    <t>ILI Date</t>
  </si>
  <si>
    <t>ksi</t>
  </si>
  <si>
    <t>Yearfrac</t>
  </si>
  <si>
    <t>0.345 in</t>
  </si>
  <si>
    <t>Amber cells: editable inputs. Other cells: calculations.</t>
  </si>
  <si>
    <t>20% SMYS for SSI</t>
  </si>
  <si>
    <t>Time of writing</t>
  </si>
  <si>
    <t>&gt; 0.378 in</t>
  </si>
  <si>
    <t>Source column</t>
  </si>
  <si>
    <t>OD</t>
  </si>
  <si>
    <t>t</t>
  </si>
  <si>
    <t>OD/t</t>
  </si>
  <si>
    <t>SSI</t>
  </si>
  <si>
    <t>restrained km</t>
  </si>
  <si>
    <t>unrestrained km
&gt;20% SMYS</t>
  </si>
  <si>
    <t>unrestrained
&lt; 20% SMYS</t>
  </si>
  <si>
    <t>restrained 
fatigue life &gt;</t>
  </si>
  <si>
    <t>&gt;20% SMYS
unrestrained 
fatigue life &gt;</t>
  </si>
  <si>
    <t>&lt; 20% SMYS
unrestrained 
fatigue life &gt;</t>
  </si>
  <si>
    <t>min fatigue life 
yrs</t>
  </si>
  <si>
    <t>min fatigue life from ILI date</t>
  </si>
  <si>
    <t>min fatigue life from time of writing</t>
  </si>
  <si>
    <t>any on weld /10?</t>
  </si>
  <si>
    <t>DWML?</t>
  </si>
  <si>
    <t>Dent ID</t>
  </si>
  <si>
    <t>metal loss depth (% wt)</t>
  </si>
  <si>
    <t>Ksf</t>
  </si>
  <si>
    <t>tnom</t>
  </si>
  <si>
    <t>tLTA</t>
  </si>
  <si>
    <t>RFLTA</t>
  </si>
  <si>
    <t>m=</t>
  </si>
  <si>
    <t>N</t>
  </si>
  <si>
    <t>-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</si>
  <si>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</si>
  <si>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</si>
  <si>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</si>
  <si>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</si>
  <si>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</si>
  <si>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</si>
  <si>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</si>
  <si>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</si>
  <si>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</si>
  <si>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</si>
  <si>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</si>
  <si>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</si>
  <si>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</si>
  <si>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</si>
  <si>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</si>
  <si>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</si>
  <si>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</si>
  <si>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Calculation conventions and equations</t>
  </si>
  <si>
    <t>Each row corresponds to one original column N–AE. Source column preserves the original case naming.</t>
  </si>
  <si>
    <t>OD/t = OD / t; restrained km = 0.1183 × (OD/t) − 1.146.</t>
  </si>
  <si>
    <t>unrestrained km &gt;20% SMYS = 7.5 × [1 − EXP(−0.065 × OD/t)].</t>
  </si>
  <si>
    <t>unrestrained &lt;20% SMYS = 9.4 × [1 − EXP(−0.045 × OD/t)].</t>
  </si>
  <si>
    <t>Fatigue life &gt; 10^(10.08514 − 3 × LOG10(13 × km)) / SSI. The reference stress is 13 ksi.</t>
  </si>
  <si>
    <t>min fatigue life uses MIN(restrained, &gt;20% unrestrained), except source Z, AD and AE, which use &lt;20% unrestrained.</t>
  </si>
  <si>
    <t>Remaining life subtracts YEARFRAC(construction date, applicable date, 1). Any on weld /10? divides the writing-date result by 10.</t>
  </si>
  <si>
    <t>DWML: tLTA = tnom − (metal loss depth / 100 × tnom); RFLTA = (Ksf × tnom / tLTA)^m; DWML? = weld life / RFLTA.</t>
  </si>
  <si>
    <t>Dent 7588 remains linked to source case T. A dash in DWML? retains the original not-applicable convention.</t>
  </si>
  <si>
    <t>The four unused DWML placeholders with no dent inputs are omitted. Original minimum-life choices and fixed dates are retained.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</si>
</sst>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\,\ yyyy"/>
    <numFmt numFmtId="165" formatCode="0.000000"/>
    <numFmt numFmtId="166" formatCode="0.000"/>
  </numFmts>
  <fonts count="5" x14ac:knownFonts="1">
    <font>
      <sz val="11"/>
      <name val="Carlito"/>
    </font>
    <font>
      <sz val="10"/>
      <name val="Arial"/>
    </font>
    <font>
      <b/>
      <sz val="14"/>
      <name val="Arial"/>
    </font>
    <font>
      <b/>
      <sz val="12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5" fontId="1" fillId="0" borderId="0" xfId="0" applyNumberFormat="1" applyFont="1"/>
    <xf numFmtId="2" fontId="1" fillId="0" borderId="0" xfId="0" applyNumberFormat="1" applyFont="1"/>
    <xf numFmtId="0" fontId="3" fillId="0" borderId="0" xfId="0" applyFont="1"/>
    <xf numFmtId="0" fontId="1" fillId="2" borderId="0" xfId="0" applyFont="1" applyFill="1"/>
    <xf numFmtId="164" fontId="1" fillId="2" borderId="0" xfId="0" applyNumberFormat="1" applyFont="1" applyFill="1"/>
    <xf numFmtId="166" fontId="1" fillId="2" borderId="0" xfId="0" applyNumberFormat="1" applyFont="1" applyFill="1"/>
    <xf numFmtId="165" fontId="1" fillId="2" borderId="0" xfId="0" applyNumberFormat="1" applyFont="1" applyFill="1"/>
    <xf numFmtId="1" fontId="1" fillId="2" borderId="0" xfId="0" applyNumberFormat="1" applyFont="1" applyFill="1"/>
    <xf numFmtId="0" fontId="4" fillId="3" borderId="0" xfId="0" applyFont="1" applyFill="1" applyAlignment="1">
      <alignment horizontal="center" vertical="center" wrapText="1"/>
    </xf>
    <xf numFmtId="2" fontId="4" fillId="4" borderId="0" xfId="0" applyNumberFormat="1" applyFont="1" applyFill="1"/>
    <xf numFmtId="165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47</xdr:row>
      <xdr:rowOff>0</xdr:rowOff>
    </xdr:from>
    <xdr:ext cx="9525000" cy="9267825"/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47</xdr:row>
      <xdr:rowOff>0</xdr:rowOff>
    </xdr:from>
    <xdr:ext cx="6648450" cy="7010400"/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5"/>
  <sheetViews>
    <sheetView showGridLines="0" tabSelected="1" zoomScale="70" zoomScaleNormal="70" workbookViewId="0">
      <pane ySplit="11" topLeftCell="A12" activePane="bottomLeft" state="frozen"/>
      <selection pane="bottomLeft" activeCell="I16" sqref="I16"/>
    </sheetView>
  </sheetViews>
  <sheetFormatPr defaultRowHeight="15" x14ac:dyDescent="0.25"/>
  <cols>
    <col min="1" max="1" width="29" customWidth="1"/>
    <col min="2" max="5" width="14" customWidth="1"/>
    <col min="6" max="8" width="19" customWidth="1"/>
    <col min="9" max="11" width="22" customWidth="1"/>
    <col min="12" max="12" width="25" customWidth="1"/>
    <col min="13" max="16" width="22" customWidth="1"/>
    <col min="17" max="17" width="3" customWidth="1"/>
    <col min="18" max="18" width="14" customWidth="1"/>
    <col min="19" max="19" width="23" customWidth="1"/>
    <col min="20" max="24" width="14" customWidth="1"/>
  </cols>
  <sheetData>
    <row r="1" spans="1:24" ht="2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1" customHeight="1" x14ac:dyDescent="0.2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1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1" customHeight="1" x14ac:dyDescent="0.25">
      <c r="A4" s="1" t="s">
        <v>1</v>
      </c>
      <c r="B4" s="6">
        <v>336</v>
      </c>
      <c r="C4" s="1" t="s">
        <v>2</v>
      </c>
      <c r="D4" s="1"/>
      <c r="E4" s="1"/>
      <c r="F4" s="1" t="s">
        <v>3</v>
      </c>
      <c r="G4" s="7">
        <v>28856</v>
      </c>
      <c r="H4" s="1"/>
      <c r="I4" s="1"/>
      <c r="J4" s="1" t="s">
        <v>4</v>
      </c>
      <c r="K4" s="1" t="s">
        <v>2</v>
      </c>
      <c r="L4" s="1"/>
      <c r="M4" s="1"/>
      <c r="N4" s="1"/>
      <c r="O4" s="1"/>
      <c r="P4" s="1"/>
      <c r="Q4" s="1"/>
      <c r="R4" s="5" t="s">
        <v>5</v>
      </c>
      <c r="S4" s="1"/>
      <c r="T4" s="1"/>
      <c r="U4" s="1"/>
      <c r="V4" s="1"/>
      <c r="W4" s="1"/>
      <c r="X4" s="1"/>
    </row>
    <row r="5" spans="1:24" ht="21" customHeight="1" x14ac:dyDescent="0.25">
      <c r="A5" s="1" t="s">
        <v>6</v>
      </c>
      <c r="B5" s="1">
        <f>B6*1000</f>
        <v>60000</v>
      </c>
      <c r="C5" s="1" t="s">
        <v>2</v>
      </c>
      <c r="D5" s="1"/>
      <c r="E5" s="1"/>
      <c r="F5" s="1" t="s">
        <v>7</v>
      </c>
      <c r="G5" s="7">
        <v>46163</v>
      </c>
      <c r="H5" s="1"/>
      <c r="I5" s="1"/>
      <c r="J5" s="1" t="s">
        <v>4</v>
      </c>
      <c r="K5" s="4">
        <f>$B$4*B12/2/C12</f>
        <v>12560.747663551401</v>
      </c>
      <c r="L5" s="1" t="str">
        <f>IF(K5&gt;$B$7,"MOP &gt; 20% SMYS","MOP &lt; 20% SMYS")</f>
        <v>MOP &gt; 20% SMYS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1" customHeight="1" x14ac:dyDescent="0.25">
      <c r="A6" s="1" t="s">
        <v>6</v>
      </c>
      <c r="B6" s="6">
        <v>60</v>
      </c>
      <c r="C6" s="1" t="s">
        <v>8</v>
      </c>
      <c r="D6" s="1"/>
      <c r="E6" s="1"/>
      <c r="F6" s="1" t="s">
        <v>9</v>
      </c>
      <c r="G6" s="3">
        <f>YEARFRAC(G4,G5,1)</f>
        <v>47.383983572895275</v>
      </c>
      <c r="H6" s="1"/>
      <c r="I6" s="1"/>
      <c r="J6" s="1" t="s">
        <v>10</v>
      </c>
      <c r="K6" s="4">
        <f>$B$4*B15/2/0.345</f>
        <v>11686.956521739132</v>
      </c>
      <c r="L6" s="1" t="str">
        <f>IF(K6&gt;$B$7,"MOP &gt; 20% SMYS","MOP &lt; 20% SMYS")</f>
        <v>MOP &lt; 20% SMYS</v>
      </c>
      <c r="M6" s="1"/>
      <c r="N6" s="1"/>
      <c r="O6" s="1"/>
      <c r="P6" s="1"/>
      <c r="Q6" s="1"/>
      <c r="R6" s="1" t="s">
        <v>11</v>
      </c>
      <c r="S6" s="1"/>
      <c r="T6" s="1"/>
      <c r="U6" s="1"/>
      <c r="V6" s="1"/>
      <c r="W6" s="1"/>
      <c r="X6" s="1"/>
    </row>
    <row r="7" spans="1:24" ht="21" customHeight="1" x14ac:dyDescent="0.25">
      <c r="A7" s="1" t="s">
        <v>12</v>
      </c>
      <c r="B7" s="1">
        <f>B5*0.2</f>
        <v>12000</v>
      </c>
      <c r="C7" s="1" t="s">
        <v>2</v>
      </c>
      <c r="D7" s="1"/>
      <c r="E7" s="1"/>
      <c r="F7" s="1" t="s">
        <v>13</v>
      </c>
      <c r="G7" s="7">
        <v>46338</v>
      </c>
      <c r="H7" s="1"/>
      <c r="I7" s="1"/>
      <c r="J7" s="1" t="s">
        <v>14</v>
      </c>
      <c r="K7" s="4">
        <f>$B$4*B15/2/0.378</f>
        <v>10666.666666666666</v>
      </c>
      <c r="L7" s="1" t="str">
        <f>IF(K7&gt;$B$7,"MOP &gt; 20% SMYS","MOP &lt; 20% SMYS")</f>
        <v>MOP &lt; 20% SMYS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customHeight="1" x14ac:dyDescent="0.25">
      <c r="A8" s="1" t="s">
        <v>12</v>
      </c>
      <c r="B8" s="1">
        <f>B6*0.2</f>
        <v>12</v>
      </c>
      <c r="C8" s="1" t="s">
        <v>8</v>
      </c>
      <c r="D8" s="1"/>
      <c r="E8" s="1"/>
      <c r="F8" s="1" t="s">
        <v>9</v>
      </c>
      <c r="G8" s="3">
        <f>YEARFRAC(G4,G7,1)</f>
        <v>47.863107460643398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75.95" customHeight="1" x14ac:dyDescent="0.25">
      <c r="A11" s="11" t="s">
        <v>15</v>
      </c>
      <c r="B11" s="11" t="s">
        <v>16</v>
      </c>
      <c r="C11" s="11" t="s">
        <v>17</v>
      </c>
      <c r="D11" s="11" t="s">
        <v>18</v>
      </c>
      <c r="E11" s="11" t="s">
        <v>19</v>
      </c>
      <c r="F11" s="11" t="s">
        <v>20</v>
      </c>
      <c r="G11" s="11" t="s">
        <v>21</v>
      </c>
      <c r="H11" s="11" t="s">
        <v>22</v>
      </c>
      <c r="I11" s="11" t="s">
        <v>23</v>
      </c>
      <c r="J11" s="11" t="s">
        <v>24</v>
      </c>
      <c r="K11" s="11" t="s">
        <v>25</v>
      </c>
      <c r="L11" s="11" t="s">
        <v>26</v>
      </c>
      <c r="M11" s="11" t="s">
        <v>27</v>
      </c>
      <c r="N11" s="11" t="s">
        <v>28</v>
      </c>
      <c r="O11" s="11" t="s">
        <v>29</v>
      </c>
      <c r="P11" s="11" t="s">
        <v>30</v>
      </c>
      <c r="Q11" s="1"/>
      <c r="R11" s="11" t="s">
        <v>31</v>
      </c>
      <c r="S11" s="11" t="s">
        <v>32</v>
      </c>
      <c r="T11" s="11" t="s">
        <v>33</v>
      </c>
      <c r="U11" s="11" t="s">
        <v>34</v>
      </c>
      <c r="V11" s="11" t="s">
        <v>35</v>
      </c>
      <c r="W11" s="11" t="s">
        <v>36</v>
      </c>
      <c r="X11" s="11" t="s">
        <v>37</v>
      </c>
    </row>
    <row r="12" spans="1:24" ht="21" customHeight="1" x14ac:dyDescent="0.25">
      <c r="A12" s="1" t="s">
        <v>38</v>
      </c>
      <c r="B12" s="8">
        <v>24</v>
      </c>
      <c r="C12" s="8">
        <v>0.32100000000000001</v>
      </c>
      <c r="D12" s="3">
        <f t="shared" ref="D12:D29" si="0">B12/C12</f>
        <v>74.766355140186917</v>
      </c>
      <c r="E12" s="9">
        <v>19.347506949709299</v>
      </c>
      <c r="F12" s="3">
        <f t="shared" ref="F12:F29" si="1">(0.1183*D12)-1.146</f>
        <v>7.6988598130841117</v>
      </c>
      <c r="G12" s="3">
        <f t="shared" ref="G12:G29" si="2">7.5*(1-EXP(-0.065*D12))</f>
        <v>7.4418605046366428</v>
      </c>
      <c r="H12" s="3">
        <f t="shared" ref="H12:H29" si="3">9.4*(1-EXP(-0.045*D12))</f>
        <v>9.074950009654243</v>
      </c>
      <c r="I12" s="4">
        <f t="shared" ref="I12:I29" si="4">(10^(10.08514-(3*LOG10(13*F12))))/E12</f>
        <v>627.19949005709952</v>
      </c>
      <c r="J12" s="4">
        <f t="shared" ref="J12:J29" si="5">(10^(10.08514-(3*LOG10(13*G12))))/E12</f>
        <v>694.44899958433712</v>
      </c>
      <c r="K12" s="4">
        <f t="shared" ref="K12:K29" si="6">(10^(10.08514-(3*LOG10(13*H12))))/E12</f>
        <v>382.9589358510313</v>
      </c>
      <c r="L12" s="12">
        <f t="shared" ref="L12:L23" si="7">MIN(I12:J12)</f>
        <v>627.19949005709952</v>
      </c>
      <c r="M12" s="4">
        <f t="shared" ref="M12:M29" si="8">L12-$G$6</f>
        <v>579.81550648420421</v>
      </c>
      <c r="N12" s="4">
        <f t="shared" ref="N12:N29" si="9">L12-$G$8</f>
        <v>579.33638259645613</v>
      </c>
      <c r="O12" s="4">
        <f t="shared" ref="O12:O29" si="10">N12/10</f>
        <v>57.933638259645612</v>
      </c>
      <c r="P12" s="4" t="s">
        <v>39</v>
      </c>
      <c r="Q12" s="1"/>
      <c r="R12" s="1"/>
      <c r="S12" s="1"/>
      <c r="T12" s="1"/>
      <c r="U12" s="1"/>
      <c r="V12" s="1"/>
      <c r="W12" s="1"/>
      <c r="X12" s="1"/>
    </row>
    <row r="13" spans="1:24" ht="21" customHeight="1" x14ac:dyDescent="0.25">
      <c r="A13" s="1" t="s">
        <v>40</v>
      </c>
      <c r="B13" s="8">
        <v>24</v>
      </c>
      <c r="C13" s="8">
        <v>0.33100000000000002</v>
      </c>
      <c r="D13" s="3">
        <f t="shared" si="0"/>
        <v>72.507552870090635</v>
      </c>
      <c r="E13" s="9">
        <v>17.6515516838525</v>
      </c>
      <c r="F13" s="3">
        <f t="shared" si="1"/>
        <v>7.4316435045317215</v>
      </c>
      <c r="G13" s="3">
        <f t="shared" si="2"/>
        <v>7.4326658617433372</v>
      </c>
      <c r="H13" s="3">
        <f t="shared" si="3"/>
        <v>9.0401723779617615</v>
      </c>
      <c r="I13" s="4">
        <f t="shared" si="4"/>
        <v>764.31511673015507</v>
      </c>
      <c r="J13" s="4">
        <f t="shared" si="5"/>
        <v>763.9997673213594</v>
      </c>
      <c r="K13" s="4">
        <f t="shared" si="6"/>
        <v>424.61655197245574</v>
      </c>
      <c r="L13" s="12">
        <f t="shared" si="7"/>
        <v>763.9997673213594</v>
      </c>
      <c r="M13" s="4">
        <f t="shared" si="8"/>
        <v>716.61578374846408</v>
      </c>
      <c r="N13" s="4">
        <f t="shared" si="9"/>
        <v>716.13665986071601</v>
      </c>
      <c r="O13" s="4">
        <f t="shared" si="10"/>
        <v>71.613665986071595</v>
      </c>
      <c r="P13" s="4" t="s">
        <v>39</v>
      </c>
      <c r="Q13" s="1"/>
      <c r="R13" s="1"/>
      <c r="S13" s="1"/>
      <c r="T13" s="1"/>
      <c r="U13" s="1"/>
      <c r="V13" s="1"/>
      <c r="W13" s="1"/>
      <c r="X13" s="1"/>
    </row>
    <row r="14" spans="1:24" ht="21" customHeight="1" x14ac:dyDescent="0.25">
      <c r="A14" s="1" t="s">
        <v>41</v>
      </c>
      <c r="B14" s="8">
        <v>24</v>
      </c>
      <c r="C14" s="8">
        <v>0.32600000000000001</v>
      </c>
      <c r="D14" s="3">
        <f t="shared" si="0"/>
        <v>73.619631901840492</v>
      </c>
      <c r="E14" s="9">
        <v>18.473605265966601</v>
      </c>
      <c r="F14" s="3">
        <f t="shared" si="1"/>
        <v>7.5632024539877305</v>
      </c>
      <c r="G14" s="3">
        <f t="shared" si="2"/>
        <v>7.4373613671518006</v>
      </c>
      <c r="H14" s="3">
        <f t="shared" si="3"/>
        <v>9.0577362862788355</v>
      </c>
      <c r="I14" s="4">
        <f t="shared" si="4"/>
        <v>692.85300650964791</v>
      </c>
      <c r="J14" s="4">
        <f t="shared" si="5"/>
        <v>728.62091396082656</v>
      </c>
      <c r="K14" s="4">
        <f t="shared" si="6"/>
        <v>403.36598008625873</v>
      </c>
      <c r="L14" s="12">
        <f t="shared" si="7"/>
        <v>692.85300650964791</v>
      </c>
      <c r="M14" s="4">
        <f t="shared" si="8"/>
        <v>645.46902293675259</v>
      </c>
      <c r="N14" s="4">
        <f t="shared" si="9"/>
        <v>644.98989904900452</v>
      </c>
      <c r="O14" s="4">
        <f t="shared" si="10"/>
        <v>64.498989904900455</v>
      </c>
      <c r="P14" s="4" t="s">
        <v>39</v>
      </c>
      <c r="Q14" s="1"/>
      <c r="R14" s="1"/>
      <c r="S14" s="1"/>
      <c r="T14" s="1"/>
      <c r="U14" s="1"/>
      <c r="V14" s="1"/>
      <c r="W14" s="1"/>
      <c r="X14" s="1"/>
    </row>
    <row r="15" spans="1:24" ht="21" customHeight="1" x14ac:dyDescent="0.25">
      <c r="A15" s="1" t="s">
        <v>42</v>
      </c>
      <c r="B15" s="8">
        <v>24</v>
      </c>
      <c r="C15" s="8">
        <v>0.312</v>
      </c>
      <c r="D15" s="3">
        <f t="shared" si="0"/>
        <v>76.92307692307692</v>
      </c>
      <c r="E15" s="9">
        <v>21.079662027180198</v>
      </c>
      <c r="F15" s="3">
        <f t="shared" si="1"/>
        <v>7.9539999999999997</v>
      </c>
      <c r="G15" s="3">
        <f t="shared" si="2"/>
        <v>7.4494653975068585</v>
      </c>
      <c r="H15" s="3">
        <f t="shared" si="3"/>
        <v>9.1050144102859836</v>
      </c>
      <c r="I15" s="4">
        <f t="shared" si="4"/>
        <v>522.02288156541772</v>
      </c>
      <c r="J15" s="4">
        <f t="shared" si="5"/>
        <v>635.43477422122237</v>
      </c>
      <c r="K15" s="4">
        <f t="shared" si="6"/>
        <v>348.02014781722295</v>
      </c>
      <c r="L15" s="12">
        <f t="shared" si="7"/>
        <v>522.02288156541772</v>
      </c>
      <c r="M15" s="4">
        <f t="shared" si="8"/>
        <v>474.63889799252246</v>
      </c>
      <c r="N15" s="4">
        <f t="shared" si="9"/>
        <v>474.15977410477433</v>
      </c>
      <c r="O15" s="4">
        <f t="shared" si="10"/>
        <v>47.415977410477431</v>
      </c>
      <c r="P15" s="4" t="s">
        <v>39</v>
      </c>
      <c r="Q15" s="1"/>
      <c r="R15" s="1"/>
      <c r="S15" s="1"/>
      <c r="T15" s="1"/>
      <c r="U15" s="1"/>
      <c r="V15" s="1"/>
      <c r="W15" s="1"/>
      <c r="X15" s="1"/>
    </row>
    <row r="16" spans="1:24" ht="21" customHeight="1" x14ac:dyDescent="0.25">
      <c r="A16" s="1" t="s">
        <v>43</v>
      </c>
      <c r="B16" s="8">
        <v>24</v>
      </c>
      <c r="C16" s="8">
        <v>0.34</v>
      </c>
      <c r="D16" s="3">
        <f t="shared" si="0"/>
        <v>70.588235294117638</v>
      </c>
      <c r="E16" s="9">
        <v>16.293282507649501</v>
      </c>
      <c r="F16" s="3">
        <f t="shared" si="1"/>
        <v>7.2045882352941168</v>
      </c>
      <c r="G16" s="3">
        <f t="shared" si="2"/>
        <v>7.4237190674961271</v>
      </c>
      <c r="H16" s="3">
        <f t="shared" si="3"/>
        <v>9.0077127390266583</v>
      </c>
      <c r="I16" s="4">
        <f t="shared" si="4"/>
        <v>908.81159976294066</v>
      </c>
      <c r="J16" s="4">
        <f t="shared" si="5"/>
        <v>830.68576676020473</v>
      </c>
      <c r="K16" s="4">
        <f t="shared" si="6"/>
        <v>465.00515965190402</v>
      </c>
      <c r="L16" s="12">
        <f t="shared" si="7"/>
        <v>830.68576676020473</v>
      </c>
      <c r="M16" s="4">
        <f t="shared" si="8"/>
        <v>783.30178318730941</v>
      </c>
      <c r="N16" s="4">
        <f t="shared" si="9"/>
        <v>782.82265929956134</v>
      </c>
      <c r="O16" s="4">
        <f t="shared" si="10"/>
        <v>78.282265929956139</v>
      </c>
      <c r="P16" s="4" t="s">
        <v>39</v>
      </c>
      <c r="Q16" s="1"/>
      <c r="R16" s="1"/>
      <c r="S16" s="1"/>
      <c r="T16" s="1"/>
      <c r="U16" s="1"/>
      <c r="V16" s="1"/>
      <c r="W16" s="1"/>
      <c r="X16" s="1"/>
    </row>
    <row r="17" spans="1:24" ht="21" customHeight="1" x14ac:dyDescent="0.25">
      <c r="A17" s="1" t="s">
        <v>44</v>
      </c>
      <c r="B17" s="8">
        <v>24</v>
      </c>
      <c r="C17" s="8">
        <v>0.33500000000000002</v>
      </c>
      <c r="D17" s="3">
        <f t="shared" si="0"/>
        <v>71.641791044776113</v>
      </c>
      <c r="E17" s="9">
        <v>17.0314976805744</v>
      </c>
      <c r="F17" s="3">
        <f t="shared" si="1"/>
        <v>7.3292238805970138</v>
      </c>
      <c r="G17" s="3">
        <f t="shared" si="2"/>
        <v>7.4287680195203523</v>
      </c>
      <c r="H17" s="3">
        <f t="shared" si="3"/>
        <v>9.0258770931972165</v>
      </c>
      <c r="I17" s="4">
        <f t="shared" si="4"/>
        <v>825.81570798076075</v>
      </c>
      <c r="J17" s="4">
        <f t="shared" si="5"/>
        <v>793.06121898255969</v>
      </c>
      <c r="K17" s="4">
        <f t="shared" si="6"/>
        <v>442.16957612294686</v>
      </c>
      <c r="L17" s="12">
        <f t="shared" si="7"/>
        <v>793.06121898255969</v>
      </c>
      <c r="M17" s="4">
        <f t="shared" si="8"/>
        <v>745.67723540966438</v>
      </c>
      <c r="N17" s="4">
        <f t="shared" si="9"/>
        <v>745.1981115219163</v>
      </c>
      <c r="O17" s="4">
        <f t="shared" si="10"/>
        <v>74.519811152191636</v>
      </c>
      <c r="P17" s="4" t="s">
        <v>39</v>
      </c>
      <c r="Q17" s="1"/>
      <c r="R17" s="1"/>
      <c r="S17" s="1"/>
      <c r="T17" s="1"/>
      <c r="U17" s="1"/>
      <c r="V17" s="1"/>
      <c r="W17" s="1"/>
      <c r="X17" s="1"/>
    </row>
    <row r="18" spans="1:24" ht="21" customHeight="1" x14ac:dyDescent="0.25">
      <c r="A18" s="1" t="s">
        <v>45</v>
      </c>
      <c r="B18" s="8">
        <v>24</v>
      </c>
      <c r="C18" s="8">
        <v>0.33900000000000002</v>
      </c>
      <c r="D18" s="3">
        <f t="shared" si="0"/>
        <v>70.796460176991147</v>
      </c>
      <c r="E18" s="9">
        <v>16.426723964515102</v>
      </c>
      <c r="F18" s="3">
        <f t="shared" si="1"/>
        <v>7.2292212389380532</v>
      </c>
      <c r="G18" s="3">
        <f t="shared" si="2"/>
        <v>7.4247445453518921</v>
      </c>
      <c r="H18" s="3">
        <f t="shared" si="3"/>
        <v>9.0113713500500587</v>
      </c>
      <c r="I18" s="4">
        <f t="shared" si="4"/>
        <v>892.24564370241558</v>
      </c>
      <c r="J18" s="4">
        <f t="shared" si="5"/>
        <v>823.59639286854997</v>
      </c>
      <c r="K18" s="4">
        <f t="shared" si="6"/>
        <v>460.6661731123595</v>
      </c>
      <c r="L18" s="12">
        <f t="shared" si="7"/>
        <v>823.59639286854997</v>
      </c>
      <c r="M18" s="4">
        <f t="shared" si="8"/>
        <v>776.21240929565465</v>
      </c>
      <c r="N18" s="4">
        <f t="shared" si="9"/>
        <v>775.73328540790658</v>
      </c>
      <c r="O18" s="4">
        <f t="shared" si="10"/>
        <v>77.573328540790655</v>
      </c>
      <c r="P18" s="4">
        <f>O18/W18</f>
        <v>22.736651712754139</v>
      </c>
      <c r="Q18" s="1"/>
      <c r="R18" s="10">
        <v>7588</v>
      </c>
      <c r="S18" s="9">
        <v>17.631773969430299</v>
      </c>
      <c r="T18" s="9">
        <v>1.24</v>
      </c>
      <c r="U18" s="9">
        <v>0.33900000000000002</v>
      </c>
      <c r="V18" s="3">
        <f>U18-(S18/100*U18)</f>
        <v>0.27922828624363133</v>
      </c>
      <c r="W18" s="13">
        <f>(T18*U18/V18)^X18</f>
        <v>3.4118184823702888</v>
      </c>
      <c r="X18" s="10">
        <v>3</v>
      </c>
    </row>
    <row r="19" spans="1:24" ht="21" customHeight="1" x14ac:dyDescent="0.25">
      <c r="A19" s="1" t="s">
        <v>46</v>
      </c>
      <c r="B19" s="8">
        <v>24</v>
      </c>
      <c r="C19" s="8">
        <v>0.317</v>
      </c>
      <c r="D19" s="3">
        <f t="shared" si="0"/>
        <v>75.709779179810724</v>
      </c>
      <c r="E19" s="9">
        <v>20.100778220178601</v>
      </c>
      <c r="F19" s="3">
        <f t="shared" si="1"/>
        <v>7.810466876971609</v>
      </c>
      <c r="G19" s="3">
        <f t="shared" si="2"/>
        <v>7.4453186526145609</v>
      </c>
      <c r="H19" s="3">
        <f t="shared" si="3"/>
        <v>9.0884608834426484</v>
      </c>
      <c r="I19" s="4">
        <f t="shared" si="4"/>
        <v>578.18402265468887</v>
      </c>
      <c r="J19" s="4">
        <f t="shared" si="5"/>
        <v>667.4937469133979</v>
      </c>
      <c r="K19" s="4">
        <f t="shared" si="6"/>
        <v>366.96618261156021</v>
      </c>
      <c r="L19" s="12">
        <f t="shared" si="7"/>
        <v>578.18402265468887</v>
      </c>
      <c r="M19" s="4">
        <f t="shared" si="8"/>
        <v>530.80003908179356</v>
      </c>
      <c r="N19" s="4">
        <f t="shared" si="9"/>
        <v>530.32091519404548</v>
      </c>
      <c r="O19" s="4">
        <f t="shared" si="10"/>
        <v>53.032091519404545</v>
      </c>
      <c r="P19" s="4" t="s">
        <v>39</v>
      </c>
      <c r="Q19" s="1"/>
      <c r="R19" s="1"/>
      <c r="S19" s="1"/>
      <c r="T19" s="1"/>
      <c r="U19" s="1"/>
      <c r="V19" s="1"/>
      <c r="W19" s="1"/>
      <c r="X19" s="1"/>
    </row>
    <row r="20" spans="1:24" ht="21" customHeight="1" x14ac:dyDescent="0.25">
      <c r="A20" s="1" t="s">
        <v>47</v>
      </c>
      <c r="B20" s="8">
        <v>24</v>
      </c>
      <c r="C20" s="8">
        <v>0.32</v>
      </c>
      <c r="D20" s="3">
        <f t="shared" si="0"/>
        <v>75</v>
      </c>
      <c r="E20" s="9">
        <v>19.5322475277748</v>
      </c>
      <c r="F20" s="3">
        <f t="shared" si="1"/>
        <v>7.7265000000000006</v>
      </c>
      <c r="G20" s="3">
        <f t="shared" si="2"/>
        <v>7.4427367933585504</v>
      </c>
      <c r="H20" s="3">
        <f t="shared" si="3"/>
        <v>9.0783496878703396</v>
      </c>
      <c r="I20" s="4">
        <f t="shared" si="4"/>
        <v>614.62369177938024</v>
      </c>
      <c r="J20" s="4">
        <f t="shared" si="5"/>
        <v>687.63779874447118</v>
      </c>
      <c r="K20" s="4">
        <f t="shared" si="6"/>
        <v>378.91081559840245</v>
      </c>
      <c r="L20" s="12">
        <f t="shared" si="7"/>
        <v>614.62369177938024</v>
      </c>
      <c r="M20" s="4">
        <f t="shared" si="8"/>
        <v>567.23970820648492</v>
      </c>
      <c r="N20" s="4">
        <f t="shared" si="9"/>
        <v>566.76058431873685</v>
      </c>
      <c r="O20" s="4">
        <f t="shared" si="10"/>
        <v>56.676058431873685</v>
      </c>
      <c r="P20" s="4" t="s">
        <v>39</v>
      </c>
      <c r="Q20" s="1"/>
      <c r="R20" s="1"/>
      <c r="S20" s="1"/>
      <c r="T20" s="1"/>
      <c r="U20" s="1"/>
      <c r="V20" s="1"/>
      <c r="W20" s="1"/>
      <c r="X20" s="1"/>
    </row>
    <row r="21" spans="1:24" ht="21" customHeight="1" x14ac:dyDescent="0.25">
      <c r="A21" s="1" t="s">
        <v>48</v>
      </c>
      <c r="B21" s="8">
        <v>24</v>
      </c>
      <c r="C21" s="8">
        <v>0.33200000000000002</v>
      </c>
      <c r="D21" s="3">
        <f t="shared" si="0"/>
        <v>72.289156626506013</v>
      </c>
      <c r="E21" s="9">
        <v>17.490105569822699</v>
      </c>
      <c r="F21" s="3">
        <f t="shared" si="1"/>
        <v>7.4058072289156618</v>
      </c>
      <c r="G21" s="3">
        <f t="shared" si="2"/>
        <v>7.4317031859687388</v>
      </c>
      <c r="H21" s="3">
        <f t="shared" si="3"/>
        <v>9.0366186186479016</v>
      </c>
      <c r="I21" s="4">
        <f t="shared" si="4"/>
        <v>779.47161075322674</v>
      </c>
      <c r="J21" s="4">
        <f t="shared" si="5"/>
        <v>771.35170519273004</v>
      </c>
      <c r="K21" s="4">
        <f t="shared" si="6"/>
        <v>429.04184453770125</v>
      </c>
      <c r="L21" s="12">
        <f t="shared" si="7"/>
        <v>771.35170519273004</v>
      </c>
      <c r="M21" s="4">
        <f t="shared" si="8"/>
        <v>723.96772161983472</v>
      </c>
      <c r="N21" s="4">
        <f t="shared" si="9"/>
        <v>723.48859773208665</v>
      </c>
      <c r="O21" s="4">
        <f t="shared" si="10"/>
        <v>72.348859773208659</v>
      </c>
      <c r="P21" s="4" t="s">
        <v>39</v>
      </c>
      <c r="Q21" s="1"/>
      <c r="R21" s="1"/>
      <c r="S21" s="1"/>
      <c r="T21" s="1"/>
      <c r="U21" s="1"/>
      <c r="V21" s="1"/>
      <c r="W21" s="1"/>
      <c r="X21" s="1"/>
    </row>
    <row r="22" spans="1:24" ht="21" customHeight="1" x14ac:dyDescent="0.25">
      <c r="A22" s="1" t="s">
        <v>49</v>
      </c>
      <c r="B22" s="8">
        <v>24</v>
      </c>
      <c r="C22" s="8">
        <v>0.32700000000000001</v>
      </c>
      <c r="D22" s="3">
        <f t="shared" si="0"/>
        <v>73.394495412844037</v>
      </c>
      <c r="E22" s="9">
        <v>18.3020731719085</v>
      </c>
      <c r="F22" s="3">
        <f t="shared" si="1"/>
        <v>7.5365688073394503</v>
      </c>
      <c r="G22" s="3">
        <f t="shared" si="2"/>
        <v>7.4364379815552546</v>
      </c>
      <c r="H22" s="3">
        <f t="shared" si="3"/>
        <v>9.0542511395433607</v>
      </c>
      <c r="I22" s="4">
        <f t="shared" si="4"/>
        <v>706.78715833445131</v>
      </c>
      <c r="J22" s="4">
        <f t="shared" si="5"/>
        <v>735.72374810384565</v>
      </c>
      <c r="K22" s="4">
        <f t="shared" si="6"/>
        <v>407.61677297367538</v>
      </c>
      <c r="L22" s="12">
        <f t="shared" si="7"/>
        <v>706.78715833445131</v>
      </c>
      <c r="M22" s="4">
        <f t="shared" si="8"/>
        <v>659.40317476155599</v>
      </c>
      <c r="N22" s="4">
        <f t="shared" si="9"/>
        <v>658.92405087380791</v>
      </c>
      <c r="O22" s="4">
        <f t="shared" si="10"/>
        <v>65.892405087380794</v>
      </c>
      <c r="P22" s="4" t="s">
        <v>39</v>
      </c>
      <c r="Q22" s="1"/>
      <c r="R22" s="1"/>
      <c r="S22" s="1"/>
      <c r="T22" s="1"/>
      <c r="U22" s="1"/>
      <c r="V22" s="1"/>
      <c r="W22" s="1"/>
      <c r="X22" s="1"/>
    </row>
    <row r="23" spans="1:24" ht="21" customHeight="1" x14ac:dyDescent="0.25">
      <c r="A23" s="1" t="s">
        <v>50</v>
      </c>
      <c r="B23" s="8">
        <v>24</v>
      </c>
      <c r="C23" s="8">
        <v>0.32200000000000001</v>
      </c>
      <c r="D23" s="3">
        <f t="shared" si="0"/>
        <v>74.534161490683232</v>
      </c>
      <c r="E23" s="9">
        <v>19.1815772663183</v>
      </c>
      <c r="F23" s="3">
        <f t="shared" si="1"/>
        <v>7.6713913043478259</v>
      </c>
      <c r="G23" s="3">
        <f t="shared" si="2"/>
        <v>7.4409763741061665</v>
      </c>
      <c r="H23" s="3">
        <f t="shared" si="3"/>
        <v>9.0715358494652119</v>
      </c>
      <c r="I23" s="4">
        <f t="shared" si="4"/>
        <v>639.4450352314085</v>
      </c>
      <c r="J23" s="4">
        <f t="shared" si="5"/>
        <v>700.70602326651692</v>
      </c>
      <c r="K23" s="4">
        <f t="shared" si="6"/>
        <v>386.70800656755824</v>
      </c>
      <c r="L23" s="12">
        <f t="shared" si="7"/>
        <v>639.4450352314085</v>
      </c>
      <c r="M23" s="4">
        <f t="shared" si="8"/>
        <v>592.06105165851318</v>
      </c>
      <c r="N23" s="4">
        <f t="shared" si="9"/>
        <v>591.58192777076511</v>
      </c>
      <c r="O23" s="4">
        <f t="shared" si="10"/>
        <v>59.158192777076508</v>
      </c>
      <c r="P23" s="4" t="s">
        <v>39</v>
      </c>
      <c r="Q23" s="1"/>
      <c r="R23" s="1"/>
      <c r="S23" s="1"/>
      <c r="T23" s="1"/>
      <c r="U23" s="1"/>
      <c r="V23" s="1"/>
      <c r="W23" s="1"/>
      <c r="X23" s="1"/>
    </row>
    <row r="24" spans="1:24" ht="21" customHeight="1" x14ac:dyDescent="0.25">
      <c r="A24" s="1" t="s">
        <v>51</v>
      </c>
      <c r="B24" s="8">
        <v>24</v>
      </c>
      <c r="C24" s="8">
        <v>0.41899999999999998</v>
      </c>
      <c r="D24" s="3">
        <f t="shared" si="0"/>
        <v>57.279236276849645</v>
      </c>
      <c r="E24" s="9">
        <v>8.7042868766137005</v>
      </c>
      <c r="F24" s="3">
        <f t="shared" si="1"/>
        <v>5.6301336515513132</v>
      </c>
      <c r="G24" s="3">
        <f t="shared" si="2"/>
        <v>7.3188169327256309</v>
      </c>
      <c r="H24" s="3">
        <f t="shared" si="3"/>
        <v>8.6859883092536538</v>
      </c>
      <c r="I24" s="4">
        <f t="shared" si="4"/>
        <v>3564.6806888815886</v>
      </c>
      <c r="J24" s="4">
        <f t="shared" si="5"/>
        <v>1622.7592539583293</v>
      </c>
      <c r="K24" s="4">
        <f t="shared" si="6"/>
        <v>970.77598778706943</v>
      </c>
      <c r="L24" s="12">
        <f>MIN(I24,K24)</f>
        <v>970.77598778706943</v>
      </c>
      <c r="M24" s="4">
        <f t="shared" si="8"/>
        <v>923.39200421417411</v>
      </c>
      <c r="N24" s="4">
        <f t="shared" si="9"/>
        <v>922.91288032642603</v>
      </c>
      <c r="O24" s="4">
        <f t="shared" si="10"/>
        <v>92.291288032642598</v>
      </c>
      <c r="P24" s="4" t="s">
        <v>39</v>
      </c>
      <c r="Q24" s="1"/>
      <c r="R24" s="1"/>
      <c r="S24" s="1"/>
      <c r="T24" s="1"/>
      <c r="U24" s="1"/>
      <c r="V24" s="1"/>
      <c r="W24" s="1"/>
      <c r="X24" s="1"/>
    </row>
    <row r="25" spans="1:24" ht="21" customHeight="1" x14ac:dyDescent="0.25">
      <c r="A25" s="1" t="s">
        <v>52</v>
      </c>
      <c r="B25" s="8">
        <v>24</v>
      </c>
      <c r="C25" s="8">
        <v>0.33600000000000002</v>
      </c>
      <c r="D25" s="3">
        <f t="shared" si="0"/>
        <v>71.428571428571431</v>
      </c>
      <c r="E25" s="9">
        <v>16.877557388380101</v>
      </c>
      <c r="F25" s="3">
        <f t="shared" si="1"/>
        <v>7.3040000000000012</v>
      </c>
      <c r="G25" s="3">
        <f t="shared" si="2"/>
        <v>7.427773923094473</v>
      </c>
      <c r="H25" s="3">
        <f t="shared" si="3"/>
        <v>9.0222701513599084</v>
      </c>
      <c r="I25" s="4">
        <f t="shared" si="4"/>
        <v>842.01156413753654</v>
      </c>
      <c r="J25" s="4">
        <f t="shared" si="5"/>
        <v>800.61610009033836</v>
      </c>
      <c r="K25" s="4">
        <f t="shared" si="6"/>
        <v>446.73797259584148</v>
      </c>
      <c r="L25" s="12">
        <f>MIN(I25:J25)</f>
        <v>800.61610009033836</v>
      </c>
      <c r="M25" s="4">
        <f t="shared" si="8"/>
        <v>753.23211651744305</v>
      </c>
      <c r="N25" s="4">
        <f t="shared" si="9"/>
        <v>752.75299262969497</v>
      </c>
      <c r="O25" s="4">
        <f t="shared" si="10"/>
        <v>75.275299262969497</v>
      </c>
      <c r="P25" s="4" t="s">
        <v>39</v>
      </c>
      <c r="Q25" s="1"/>
      <c r="R25" s="1"/>
      <c r="S25" s="1"/>
      <c r="T25" s="1"/>
      <c r="U25" s="1"/>
      <c r="V25" s="1"/>
      <c r="W25" s="1"/>
      <c r="X25" s="1"/>
    </row>
    <row r="26" spans="1:24" ht="21" customHeight="1" x14ac:dyDescent="0.25">
      <c r="A26" s="1" t="s">
        <v>53</v>
      </c>
      <c r="B26" s="8">
        <v>24</v>
      </c>
      <c r="C26" s="8">
        <v>0.32800000000000001</v>
      </c>
      <c r="D26" s="3">
        <f t="shared" si="0"/>
        <v>73.170731707317074</v>
      </c>
      <c r="E26" s="9">
        <v>18.147972891351099</v>
      </c>
      <c r="F26" s="3">
        <f t="shared" si="1"/>
        <v>7.51009756097561</v>
      </c>
      <c r="G26" s="3">
        <f t="shared" si="2"/>
        <v>7.4355067389467475</v>
      </c>
      <c r="H26" s="3">
        <f t="shared" si="3"/>
        <v>9.0507520803741581</v>
      </c>
      <c r="I26" s="4">
        <f t="shared" si="4"/>
        <v>720.35252830136631</v>
      </c>
      <c r="J26" s="4">
        <f t="shared" si="5"/>
        <v>742.24982949229661</v>
      </c>
      <c r="K26" s="4">
        <f t="shared" si="6"/>
        <v>411.55493604502186</v>
      </c>
      <c r="L26" s="12">
        <f>MIN(I26:J26)</f>
        <v>720.35252830136631</v>
      </c>
      <c r="M26" s="4">
        <f t="shared" si="8"/>
        <v>672.96854472847099</v>
      </c>
      <c r="N26" s="4">
        <f t="shared" si="9"/>
        <v>672.48942084072291</v>
      </c>
      <c r="O26" s="4">
        <f t="shared" si="10"/>
        <v>67.248942084072297</v>
      </c>
      <c r="P26" s="4" t="s">
        <v>39</v>
      </c>
      <c r="Q26" s="1"/>
      <c r="R26" s="1"/>
      <c r="S26" s="1"/>
      <c r="T26" s="1"/>
      <c r="U26" s="1"/>
      <c r="V26" s="1"/>
      <c r="W26" s="1"/>
      <c r="X26" s="1"/>
    </row>
    <row r="27" spans="1:24" ht="21" customHeight="1" x14ac:dyDescent="0.25">
      <c r="A27" s="1" t="s">
        <v>54</v>
      </c>
      <c r="B27" s="8">
        <v>24</v>
      </c>
      <c r="C27" s="8">
        <v>0.34499999999999997</v>
      </c>
      <c r="D27" s="3">
        <f t="shared" si="0"/>
        <v>69.565217391304358</v>
      </c>
      <c r="E27" s="9">
        <v>15.5846069332372</v>
      </c>
      <c r="F27" s="3">
        <f t="shared" si="1"/>
        <v>7.083565217391306</v>
      </c>
      <c r="G27" s="3">
        <f t="shared" si="2"/>
        <v>7.4184742297959154</v>
      </c>
      <c r="H27" s="3">
        <f t="shared" si="3"/>
        <v>8.9892313397244692</v>
      </c>
      <c r="I27" s="4">
        <f t="shared" si="4"/>
        <v>999.6740062575218</v>
      </c>
      <c r="J27" s="4">
        <f t="shared" si="5"/>
        <v>870.30266367340516</v>
      </c>
      <c r="K27" s="4">
        <f t="shared" si="6"/>
        <v>489.1549111005333</v>
      </c>
      <c r="L27" s="12">
        <f>MIN(I27:J27)</f>
        <v>870.30266367340516</v>
      </c>
      <c r="M27" s="4">
        <f t="shared" si="8"/>
        <v>822.91868010050985</v>
      </c>
      <c r="N27" s="4">
        <f t="shared" si="9"/>
        <v>822.43955621276177</v>
      </c>
      <c r="O27" s="4">
        <f t="shared" si="10"/>
        <v>82.243955621276172</v>
      </c>
      <c r="P27" s="4" t="s">
        <v>39</v>
      </c>
      <c r="Q27" s="1"/>
      <c r="R27" s="1"/>
      <c r="S27" s="1"/>
      <c r="T27" s="1"/>
      <c r="U27" s="1"/>
      <c r="V27" s="1"/>
      <c r="W27" s="1"/>
      <c r="X27" s="1"/>
    </row>
    <row r="28" spans="1:24" ht="21" customHeight="1" x14ac:dyDescent="0.25">
      <c r="A28" s="1" t="s">
        <v>55</v>
      </c>
      <c r="B28" s="8">
        <v>24</v>
      </c>
      <c r="C28" s="8">
        <v>0.378</v>
      </c>
      <c r="D28" s="3">
        <f t="shared" si="0"/>
        <v>63.492063492063494</v>
      </c>
      <c r="E28" s="9">
        <v>11.853647987449399</v>
      </c>
      <c r="F28" s="3">
        <f t="shared" si="1"/>
        <v>6.3651111111111112</v>
      </c>
      <c r="G28" s="3">
        <f t="shared" si="2"/>
        <v>7.3790140803205313</v>
      </c>
      <c r="H28" s="3">
        <f t="shared" si="3"/>
        <v>8.860133378884397</v>
      </c>
      <c r="I28" s="4">
        <f t="shared" si="4"/>
        <v>1811.5067197514461</v>
      </c>
      <c r="J28" s="4">
        <f t="shared" si="5"/>
        <v>1162.6872228625552</v>
      </c>
      <c r="K28" s="4">
        <f t="shared" si="6"/>
        <v>671.64090454687903</v>
      </c>
      <c r="L28" s="12">
        <f>MIN(I28,K28)</f>
        <v>671.64090454687903</v>
      </c>
      <c r="M28" s="4">
        <f t="shared" si="8"/>
        <v>624.25692097398371</v>
      </c>
      <c r="N28" s="4">
        <f t="shared" si="9"/>
        <v>623.77779708623564</v>
      </c>
      <c r="O28" s="4">
        <f t="shared" si="10"/>
        <v>62.377779708623564</v>
      </c>
      <c r="P28" s="4" t="s">
        <v>39</v>
      </c>
      <c r="Q28" s="1"/>
      <c r="R28" s="1"/>
      <c r="S28" s="1"/>
      <c r="T28" s="1"/>
      <c r="U28" s="1"/>
      <c r="V28" s="1"/>
      <c r="W28" s="1"/>
      <c r="X28" s="1"/>
    </row>
    <row r="29" spans="1:24" ht="21" customHeight="1" x14ac:dyDescent="0.25">
      <c r="A29" s="1" t="s">
        <v>56</v>
      </c>
      <c r="B29" s="8">
        <v>24</v>
      </c>
      <c r="C29" s="8">
        <v>0.39600000000000002</v>
      </c>
      <c r="D29" s="3">
        <f t="shared" si="0"/>
        <v>60.606060606060602</v>
      </c>
      <c r="E29" s="9">
        <v>10.309601240774599</v>
      </c>
      <c r="F29" s="3">
        <f t="shared" si="1"/>
        <v>6.0236969696969691</v>
      </c>
      <c r="G29" s="3">
        <f t="shared" si="2"/>
        <v>7.3540499616399071</v>
      </c>
      <c r="H29" s="3">
        <f t="shared" si="3"/>
        <v>8.7852644096393142</v>
      </c>
      <c r="I29" s="4">
        <f t="shared" si="4"/>
        <v>2457.4162592075104</v>
      </c>
      <c r="J29" s="4">
        <f t="shared" si="5"/>
        <v>1350.4805918542631</v>
      </c>
      <c r="K29" s="4">
        <f t="shared" si="6"/>
        <v>792.14295551366797</v>
      </c>
      <c r="L29" s="12">
        <f>MIN(I29,K29)</f>
        <v>792.14295551366797</v>
      </c>
      <c r="M29" s="4">
        <f t="shared" si="8"/>
        <v>744.75897194077265</v>
      </c>
      <c r="N29" s="4">
        <f t="shared" si="9"/>
        <v>744.27984805302458</v>
      </c>
      <c r="O29" s="4">
        <f t="shared" si="10"/>
        <v>74.427984805302458</v>
      </c>
      <c r="P29" s="4" t="s">
        <v>39</v>
      </c>
      <c r="Q29" s="1"/>
      <c r="R29" s="1"/>
      <c r="S29" s="1"/>
      <c r="T29" s="1"/>
      <c r="U29" s="1"/>
      <c r="V29" s="1"/>
      <c r="W29" s="1"/>
      <c r="X29" s="1"/>
    </row>
    <row r="30" spans="1:24" ht="21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21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1" customHeight="1" x14ac:dyDescent="0.25">
      <c r="A32" s="5" t="s">
        <v>57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1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1" customHeight="1" x14ac:dyDescent="0.25">
      <c r="A34" s="1" t="s">
        <v>58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1" customHeight="1" x14ac:dyDescent="0.25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1" customHeight="1" x14ac:dyDescent="0.25">
      <c r="A36" s="1" t="s">
        <v>60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1" customHeight="1" x14ac:dyDescent="0.25">
      <c r="A37" s="1" t="s">
        <v>61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1" customHeight="1" x14ac:dyDescent="0.25">
      <c r="A38" s="1" t="s">
        <v>62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1" customHeight="1" x14ac:dyDescent="0.25">
      <c r="A39" s="1" t="s">
        <v>63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1" customHeight="1" x14ac:dyDescent="0.25">
      <c r="A40" s="1" t="s">
        <v>64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1" customHeight="1" x14ac:dyDescent="0.25">
      <c r="A41" s="1" t="s">
        <v>65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1" customHeight="1" x14ac:dyDescent="0.25">
      <c r="A42" s="1" t="s">
        <v>66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21" customHeight="1" x14ac:dyDescent="0.25">
      <c r="A43" s="1" t="s">
        <v>67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21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21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21" customHeight="1" x14ac:dyDescent="0.25">
      <c r="A46" s="5" t="s">
        <v>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 t="s">
        <v>5</v>
      </c>
      <c r="S46" s="5"/>
      <c r="T46" s="5"/>
      <c r="U46" s="5"/>
      <c r="V46" s="5"/>
      <c r="W46" s="5"/>
      <c r="X46" s="5"/>
    </row>
    <row r="47" spans="1:24" ht="21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21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21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21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21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21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21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21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21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21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21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21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21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21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21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21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21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21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21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21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21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21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21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21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21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21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21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21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21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21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21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21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21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21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21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21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21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21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21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SSI Kmax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Abdur Razzak</cp:lastModifiedBy>
  <dcterms:modified xsi:type="dcterms:W3CDTF">2026-10-23T17:38:59Z</dcterms:modified>
</cp:coreProperties>
</file>